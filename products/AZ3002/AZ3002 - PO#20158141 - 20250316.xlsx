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50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<sst xmlns="http://schemas.openxmlformats.org/spreadsheetml/2006/main" count="142" uniqueCount="69">
  <si>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</si>
  <si>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</si>
  <si>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</si>
  <si>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</si>
  <si>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</si>
  <si>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</si>
  <si>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09-01-2022</t>
  </si>
  <si>
    <t>Mã sp</t>
  </si>
  <si>
    <t>AZ3002</t>
  </si>
  <si>
    <t xml:space="preserve">Số báo cáo </t>
  </si>
  <si>
    <t>NV kiểm tra</t>
  </si>
  <si>
    <t>Ngọc Hà
Trung</t>
  </si>
  <si>
    <t>Ngày tháng</t>
  </si>
  <si>
    <t>2025.03.16</t>
  </si>
  <si>
    <t>产品型号</t>
  </si>
  <si>
    <t>报告编号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</si>
  <si>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</si>
  <si>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</si>
  <si>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</si>
  <si>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</si>
  <si>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</si>
  <si>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</si>
  <si>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</si>
  <si>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(W)</t>
  </si>
  <si>
    <t>Brush Roll RPM Low Pile Setting</t>
  </si>
  <si>
    <t>Brush Roll RPM Bare Floor</t>
  </si>
  <si>
    <t>Soft Roller RPM Low Pile Setting</t>
  </si>
  <si>
    <t>Soft Roller  RPM Bare Floor</t>
  </si>
  <si>
    <t>Air flow  (CFM)</t>
  </si>
  <si>
    <t>Noise (dBA)</t>
  </si>
  <si>
    <t>Strain relief test  (P/F)</t>
  </si>
  <si>
    <t>Screw Torque test (P/F)</t>
  </si>
  <si>
    <t>Handle strength test (P/F)</t>
  </si>
  <si>
    <t>Drop test   (P/F)</t>
  </si>
  <si>
    <t>Bleed valve test (P/F)</t>
  </si>
  <si>
    <t>Main unit air tightness test</t>
  </si>
  <si>
    <t>Flexible hose air tightness</t>
  </si>
  <si>
    <t>Dust cup air tightness test</t>
  </si>
  <si>
    <t>Remark:</t>
  </si>
  <si>
    <t>Open</t>
  </si>
  <si>
    <t>End of Hose</t>
  </si>
  <si>
    <t>Power Nozzle</t>
  </si>
  <si>
    <t>Sealed Hose</t>
  </si>
  <si>
    <t>Sealed Nozzle</t>
  </si>
  <si>
    <t>Barcode
số tem</t>
  </si>
  <si>
    <t>\</t>
  </si>
  <si>
    <t>1500V 1mA</t>
  </si>
  <si>
    <t>≥80</t>
  </si>
  <si>
    <t>≥70</t>
  </si>
  <si>
    <t>265-315</t>
  </si>
  <si>
    <t>≥120</t>
  </si>
  <si>
    <t>2900-3500</t>
  </si>
  <si>
    <t>800-1100</t>
  </si>
  <si>
    <t>1700-2100</t>
  </si>
  <si>
    <t>460-640</t>
  </si>
  <si>
    <t>≥62</t>
  </si>
  <si>
    <t>≥51</t>
  </si>
  <si>
    <t xml:space="preserve"> </t>
  </si>
  <si>
    <t>H14ZX504Z4Q8</t>
  </si>
  <si>
    <t>P</t>
  </si>
  <si>
    <t>H15ZX504Z0K6</t>
  </si>
  <si>
    <t>H15ZX504Z2Z8</t>
  </si>
  <si>
    <t>H15ZX504Z2A2</t>
  </si>
  <si>
    <t>H15ZX504Z2Z7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</si>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</sst>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_);[Red]\(0\)"/>
    <numFmt numFmtId="180" formatCode="dd\-mmm\-yy"/>
    <numFmt numFmtId="181" formatCode="0.0"/>
  </numFmts>
  <fonts count="58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name val="新細明體"/>
      <charset val="136"/>
    </font>
    <font>
      <sz val="10"/>
      <name val="Times New Roman"/>
      <charset val="134"/>
    </font>
    <font>
      <sz val="9"/>
      <name val="Times New Roman"/>
      <charset val="134"/>
    </font>
    <font>
      <b/>
      <sz val="9"/>
      <name val="Calibri"/>
      <charset val="134"/>
      <scheme val="minor"/>
    </font>
    <font>
      <b/>
      <sz val="9"/>
      <name val="新細明體"/>
      <charset val="136"/>
    </font>
    <font>
      <sz val="10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u/>
      <sz val="12"/>
      <name val="新細明體"/>
      <charset val="134"/>
    </font>
    <font>
      <b/>
      <sz val="9"/>
      <name val="宋体"/>
      <charset val="134"/>
    </font>
    <font>
      <b/>
      <sz val="9"/>
      <name val="新細明體"/>
      <charset val="134"/>
    </font>
    <font>
      <sz val="9"/>
      <name val="新細明體"/>
      <charset val="136"/>
    </font>
    <font>
      <sz val="11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7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1" applyNumberFormat="0" applyAlignment="0" applyProtection="0">
      <alignment vertical="center"/>
    </xf>
    <xf numFmtId="0" fontId="30" fillId="7" borderId="12" applyNumberFormat="0" applyAlignment="0" applyProtection="0">
      <alignment vertical="center"/>
    </xf>
    <xf numFmtId="0" fontId="31" fillId="7" borderId="11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2" fillId="0" borderId="0"/>
    <xf numFmtId="0" fontId="1" fillId="0" borderId="0"/>
    <xf numFmtId="0" fontId="6" fillId="0" borderId="0"/>
    <xf numFmtId="0" fontId="3" fillId="0" borderId="0"/>
    <xf numFmtId="0" fontId="6" fillId="0" borderId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1" fillId="0" borderId="0"/>
    <xf numFmtId="0" fontId="0" fillId="0" borderId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54" borderId="19" applyNumberFormat="0" applyAlignment="0" applyProtection="0"/>
    <xf numFmtId="0" fontId="49" fillId="54" borderId="19" applyNumberFormat="0" applyAlignment="0" applyProtection="0"/>
    <xf numFmtId="0" fontId="49" fillId="54" borderId="19" applyNumberFormat="0" applyAlignment="0" applyProtection="0"/>
    <xf numFmtId="0" fontId="49" fillId="54" borderId="19" applyNumberFormat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1" fillId="55" borderId="21" applyNumberFormat="0" applyFont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2" borderId="22" applyNumberFormat="0" applyAlignment="0" applyProtection="0"/>
    <xf numFmtId="0" fontId="53" fillId="2" borderId="22" applyNumberFormat="0" applyAlignment="0" applyProtection="0"/>
    <xf numFmtId="0" fontId="53" fillId="2" borderId="22" applyNumberFormat="0" applyAlignment="0" applyProtection="0"/>
    <xf numFmtId="0" fontId="53" fillId="2" borderId="22" applyNumberFormat="0" applyAlignment="0" applyProtection="0"/>
    <xf numFmtId="0" fontId="54" fillId="41" borderId="22" applyNumberFormat="0" applyAlignment="0" applyProtection="0"/>
    <xf numFmtId="0" fontId="54" fillId="41" borderId="22" applyNumberFormat="0" applyAlignment="0" applyProtection="0"/>
    <xf numFmtId="0" fontId="54" fillId="41" borderId="22" applyNumberFormat="0" applyAlignment="0" applyProtection="0"/>
    <xf numFmtId="0" fontId="54" fillId="41" borderId="22" applyNumberFormat="0" applyAlignment="0" applyProtection="0"/>
    <xf numFmtId="0" fontId="55" fillId="2" borderId="23" applyNumberFormat="0" applyAlignment="0" applyProtection="0"/>
    <xf numFmtId="0" fontId="55" fillId="2" borderId="23" applyNumberFormat="0" applyAlignment="0" applyProtection="0"/>
    <xf numFmtId="0" fontId="55" fillId="2" borderId="23" applyNumberFormat="0" applyAlignment="0" applyProtection="0"/>
    <xf numFmtId="0" fontId="55" fillId="2" borderId="23" applyNumberFormat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</cellStyleXfs>
  <cellXfs count="71">
    <xf numFmtId="0" fontId="0" fillId="0" borderId="0" xfId="0"/>
    <xf numFmtId="0" fontId="1" fillId="0" borderId="0" xfId="134"/>
    <xf numFmtId="0" fontId="0" fillId="0" borderId="0" xfId="135"/>
    <xf numFmtId="178" fontId="0" fillId="0" borderId="0" xfId="135" applyNumberFormat="1"/>
    <xf numFmtId="0" fontId="1" fillId="0" borderId="1" xfId="134" applyBorder="1" applyAlignment="1">
      <alignment horizontal="center"/>
    </xf>
    <xf numFmtId="0" fontId="2" fillId="0" borderId="1" xfId="125" applyFont="1" applyBorder="1" applyAlignment="1">
      <alignment horizontal="center" vertical="center" wrapText="1"/>
    </xf>
    <xf numFmtId="0" fontId="3" fillId="0" borderId="1" xfId="125" applyFont="1" applyBorder="1" applyAlignment="1" applyProtection="1">
      <alignment horizontal="left" vertical="center"/>
    </xf>
    <xf numFmtId="0" fontId="4" fillId="0" borderId="1" xfId="125" applyFont="1" applyBorder="1" applyAlignment="1" applyProtection="1">
      <alignment horizontal="center" vertical="center"/>
    </xf>
    <xf numFmtId="0" fontId="4" fillId="0" borderId="1" xfId="125" applyFont="1" applyBorder="1" applyAlignment="1" applyProtection="1">
      <alignment horizontal="left" vertical="center"/>
    </xf>
    <xf numFmtId="0" fontId="5" fillId="0" borderId="1" xfId="125" applyFont="1" applyBorder="1" applyAlignment="1" applyProtection="1">
      <alignment horizontal="center" vertical="center"/>
    </xf>
    <xf numFmtId="0" fontId="6" fillId="0" borderId="1" xfId="125" applyBorder="1" applyAlignment="1">
      <alignment horizontal="left"/>
    </xf>
    <xf numFmtId="0" fontId="7" fillId="0" borderId="1" xfId="125" applyFont="1" applyBorder="1" applyAlignment="1">
      <alignment horizontal="center" vertical="center" wrapText="1"/>
    </xf>
    <xf numFmtId="0" fontId="7" fillId="0" borderId="1" xfId="125" applyFont="1" applyBorder="1" applyAlignment="1" applyProtection="1">
      <alignment horizontal="center" vertical="center" wrapText="1"/>
      <protection locked="0"/>
    </xf>
    <xf numFmtId="0" fontId="7" fillId="0" borderId="1" xfId="125" applyFont="1" applyBorder="1" applyAlignment="1" applyProtection="1">
      <alignment vertical="center" wrapText="1"/>
      <protection locked="0"/>
    </xf>
    <xf numFmtId="0" fontId="8" fillId="0" borderId="1" xfId="125" applyFont="1" applyBorder="1" applyAlignment="1" applyProtection="1">
      <alignment horizontal="center" vertical="center" wrapText="1"/>
      <protection locked="0"/>
    </xf>
    <xf numFmtId="0" fontId="5" fillId="0" borderId="1" xfId="125" applyFont="1" applyBorder="1" applyAlignment="1">
      <alignment horizontal="center" vertical="center" wrapText="1"/>
    </xf>
    <xf numFmtId="0" fontId="9" fillId="2" borderId="1" xfId="125" applyFont="1" applyFill="1" applyBorder="1" applyAlignment="1" applyProtection="1">
      <alignment horizontal="center" vertical="center"/>
      <protection locked="0"/>
    </xf>
    <xf numFmtId="0" fontId="10" fillId="2" borderId="1" xfId="125" applyFont="1" applyFill="1" applyBorder="1" applyAlignment="1" applyProtection="1">
      <alignment horizontal="center" vertical="center" wrapText="1"/>
      <protection locked="0"/>
    </xf>
    <xf numFmtId="0" fontId="5" fillId="0" borderId="1" xfId="125" applyFont="1" applyBorder="1" applyAlignment="1">
      <alignment horizontal="center" vertical="center"/>
    </xf>
    <xf numFmtId="0" fontId="7" fillId="0" borderId="1" xfId="125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125" applyFont="1" applyBorder="1" applyAlignment="1" applyProtection="1">
      <alignment horizontal="center" vertical="center"/>
      <protection locked="0"/>
    </xf>
    <xf numFmtId="178" fontId="13" fillId="0" borderId="1" xfId="0" applyNumberFormat="1" applyFont="1" applyFill="1" applyBorder="1" applyAlignment="1">
      <alignment horizontal="center" vertical="center"/>
    </xf>
    <xf numFmtId="179" fontId="13" fillId="0" borderId="1" xfId="125" applyNumberFormat="1" applyFont="1" applyBorder="1" applyAlignment="1" applyProtection="1">
      <protection locked="0"/>
    </xf>
    <xf numFmtId="0" fontId="14" fillId="0" borderId="1" xfId="125" applyFont="1" applyBorder="1" applyAlignment="1" applyProtection="1">
      <protection locked="0"/>
    </xf>
    <xf numFmtId="0" fontId="15" fillId="0" borderId="1" xfId="125" applyFont="1" applyBorder="1" applyAlignment="1">
      <alignment horizontal="center"/>
    </xf>
    <xf numFmtId="2" fontId="13" fillId="0" borderId="1" xfId="125" applyNumberFormat="1" applyFont="1" applyBorder="1" applyAlignment="1" applyProtection="1">
      <protection locked="0"/>
    </xf>
    <xf numFmtId="178" fontId="13" fillId="0" borderId="1" xfId="0" applyNumberFormat="1" applyFont="1" applyFill="1" applyBorder="1" applyAlignment="1">
      <alignment vertical="center"/>
    </xf>
    <xf numFmtId="178" fontId="13" fillId="0" borderId="1" xfId="125" applyNumberFormat="1" applyFont="1" applyBorder="1" applyAlignment="1" applyProtection="1">
      <alignment vertical="center"/>
      <protection locked="0"/>
    </xf>
    <xf numFmtId="0" fontId="15" fillId="3" borderId="1" xfId="125" applyFont="1" applyFill="1" applyBorder="1" applyAlignment="1">
      <alignment horizontal="center"/>
    </xf>
    <xf numFmtId="2" fontId="15" fillId="4" borderId="1" xfId="125" applyNumberFormat="1" applyFont="1" applyFill="1" applyBorder="1" applyAlignment="1">
      <alignment vertical="center"/>
    </xf>
    <xf numFmtId="0" fontId="15" fillId="0" borderId="1" xfId="125" applyFont="1" applyBorder="1"/>
    <xf numFmtId="0" fontId="15" fillId="0" borderId="1" xfId="125" applyFont="1" applyBorder="1" applyProtection="1">
      <protection locked="0"/>
    </xf>
    <xf numFmtId="0" fontId="15" fillId="0" borderId="0" xfId="125" applyFont="1"/>
    <xf numFmtId="0" fontId="5" fillId="0" borderId="1" xfId="125" applyFont="1" applyBorder="1" applyAlignment="1" applyProtection="1">
      <alignment horizontal="center" vertical="center" wrapText="1"/>
      <protection locked="0"/>
    </xf>
    <xf numFmtId="178" fontId="16" fillId="0" borderId="1" xfId="125" applyNumberFormat="1" applyFont="1" applyBorder="1" applyAlignment="1">
      <alignment horizontal="left"/>
    </xf>
    <xf numFmtId="0" fontId="5" fillId="0" borderId="1" xfId="125" applyFont="1" applyBorder="1" applyAlignment="1" applyProtection="1">
      <alignment horizontal="center" vertical="center"/>
      <protection locked="0"/>
    </xf>
    <xf numFmtId="0" fontId="7" fillId="0" borderId="1" xfId="124" applyFont="1" applyBorder="1" applyAlignment="1" applyProtection="1">
      <alignment horizontal="center" vertical="center" wrapText="1"/>
      <protection locked="0"/>
    </xf>
    <xf numFmtId="178" fontId="7" fillId="0" borderId="1" xfId="125" applyNumberFormat="1" applyFont="1" applyBorder="1" applyAlignment="1" applyProtection="1">
      <alignment horizontal="center" vertical="center" wrapText="1"/>
      <protection locked="0"/>
    </xf>
    <xf numFmtId="0" fontId="7" fillId="0" borderId="1" xfId="125" applyFont="1" applyFill="1" applyBorder="1" applyAlignment="1" applyProtection="1">
      <alignment horizontal="center" vertical="center" wrapText="1"/>
      <protection locked="0"/>
    </xf>
    <xf numFmtId="0" fontId="17" fillId="2" borderId="1" xfId="124" applyFont="1" applyFill="1" applyBorder="1" applyAlignment="1" applyProtection="1">
      <alignment horizontal="center" vertical="center" wrapText="1"/>
      <protection locked="0"/>
    </xf>
    <xf numFmtId="0" fontId="18" fillId="2" borderId="1" xfId="124" applyFont="1" applyFill="1" applyBorder="1" applyAlignment="1" applyProtection="1">
      <alignment horizontal="center" vertical="center" wrapText="1"/>
      <protection locked="0"/>
    </xf>
    <xf numFmtId="178" fontId="9" fillId="2" borderId="1" xfId="125" applyNumberFormat="1" applyFont="1" applyFill="1" applyBorder="1" applyAlignment="1" applyProtection="1">
      <alignment horizontal="center" vertical="center"/>
      <protection locked="0"/>
    </xf>
    <xf numFmtId="179" fontId="1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178" fontId="13" fillId="0" borderId="1" xfId="125" applyNumberFormat="1" applyFont="1" applyBorder="1" applyAlignment="1" applyProtection="1">
      <protection locked="0"/>
    </xf>
    <xf numFmtId="178" fontId="13" fillId="0" borderId="1" xfId="124" applyNumberFormat="1" applyFont="1" applyBorder="1" applyAlignment="1" applyProtection="1">
      <alignment vertical="center"/>
      <protection locked="0"/>
    </xf>
    <xf numFmtId="178" fontId="15" fillId="0" borderId="1" xfId="125" applyNumberFormat="1" applyFont="1" applyBorder="1" applyProtection="1">
      <protection locked="0"/>
    </xf>
    <xf numFmtId="178" fontId="15" fillId="0" borderId="0" xfId="125" applyNumberFormat="1" applyFont="1"/>
    <xf numFmtId="0" fontId="5" fillId="0" borderId="1" xfId="134" applyFont="1" applyBorder="1" applyAlignment="1">
      <alignment horizontal="left" vertical="center"/>
    </xf>
    <xf numFmtId="0" fontId="5" fillId="0" borderId="1" xfId="125" applyFont="1" applyBorder="1" applyAlignment="1">
      <alignment horizontal="left" vertical="center"/>
    </xf>
    <xf numFmtId="58" fontId="5" fillId="0" borderId="1" xfId="125" applyNumberFormat="1" applyFont="1" applyBorder="1" applyAlignment="1">
      <alignment horizontal="left" vertical="center"/>
    </xf>
    <xf numFmtId="180" fontId="5" fillId="0" borderId="2" xfId="125" applyNumberFormat="1" applyFont="1" applyBorder="1" applyAlignment="1" applyProtection="1">
      <alignment horizontal="center" vertical="center"/>
      <protection locked="0"/>
    </xf>
    <xf numFmtId="180" fontId="5" fillId="0" borderId="3" xfId="125" applyNumberFormat="1" applyFont="1" applyBorder="1" applyAlignment="1" applyProtection="1">
      <alignment horizontal="center" vertical="center"/>
      <protection locked="0"/>
    </xf>
    <xf numFmtId="180" fontId="5" fillId="0" borderId="4" xfId="125" applyNumberFormat="1" applyFont="1" applyBorder="1" applyAlignment="1" applyProtection="1">
      <alignment horizontal="center" vertical="center"/>
      <protection locked="0"/>
    </xf>
    <xf numFmtId="0" fontId="0" fillId="0" borderId="1" xfId="135" applyBorder="1"/>
    <xf numFmtId="0" fontId="6" fillId="0" borderId="1" xfId="125" applyBorder="1" applyAlignment="1">
      <alignment horizontal="center"/>
    </xf>
    <xf numFmtId="180" fontId="5" fillId="0" borderId="5" xfId="125" applyNumberFormat="1" applyFont="1" applyBorder="1" applyAlignment="1" applyProtection="1">
      <alignment horizontal="center" vertical="center"/>
      <protection locked="0"/>
    </xf>
    <xf numFmtId="180" fontId="5" fillId="0" borderId="6" xfId="125" applyNumberFormat="1" applyFont="1" applyBorder="1" applyAlignment="1" applyProtection="1">
      <alignment horizontal="center" vertical="center"/>
      <protection locked="0"/>
    </xf>
    <xf numFmtId="180" fontId="5" fillId="0" borderId="7" xfId="125" applyNumberFormat="1" applyFont="1" applyBorder="1" applyAlignment="1" applyProtection="1">
      <alignment horizontal="center" vertical="center"/>
      <protection locked="0"/>
    </xf>
    <xf numFmtId="0" fontId="6" fillId="0" borderId="1" xfId="125" applyFont="1" applyBorder="1" applyAlignment="1" applyProtection="1">
      <alignment horizontal="center" vertical="center"/>
      <protection locked="0"/>
    </xf>
    <xf numFmtId="2" fontId="6" fillId="0" borderId="1" xfId="125" applyNumberFormat="1" applyBorder="1" applyAlignment="1" applyProtection="1">
      <alignment horizontal="center" vertical="center"/>
      <protection locked="0"/>
    </xf>
    <xf numFmtId="0" fontId="13" fillId="0" borderId="1" xfId="125" applyFont="1" applyBorder="1" applyAlignment="1" applyProtection="1">
      <protection locked="0"/>
    </xf>
    <xf numFmtId="181" fontId="13" fillId="0" borderId="1" xfId="125" applyNumberFormat="1" applyFont="1" applyBorder="1" applyAlignment="1" applyProtection="1">
      <protection locked="0"/>
    </xf>
    <xf numFmtId="2" fontId="19" fillId="4" borderId="1" xfId="125" applyNumberFormat="1" applyFont="1" applyFill="1" applyBorder="1" applyAlignment="1">
      <alignment horizontal="center" vertical="center"/>
    </xf>
    <xf numFmtId="0" fontId="20" fillId="0" borderId="1" xfId="125" applyFont="1" applyBorder="1" applyProtection="1">
      <protection locked="0"/>
    </xf>
    <xf numFmtId="0" fontId="6" fillId="0" borderId="1" xfId="125" applyBorder="1" applyProtection="1">
      <protection locked="0"/>
    </xf>
    <xf numFmtId="0" fontId="6" fillId="0" borderId="0" xfId="125"/>
    <xf numFmtId="0" fontId="0" fillId="0" borderId="0" xfId="135" applyBorder="1"/>
    <xf numFmtId="58" fontId="0" fillId="0" borderId="0" xfId="135" applyNumberFormat="1" applyBorder="1"/>
    <xf numFmtId="58" fontId="5" fillId="0" borderId="1" xfId="125" applyNumberFormat="1" applyFont="1" applyBorder="1" applyAlignment="1" quotePrefix="1">
      <alignment horizontal="left" vertical="center"/>
    </xf>
  </cellXfs>
  <cellStyles count="21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" xfId="124"/>
    <cellStyle name="一般_吸塵器測試數據表 2" xfId="125"/>
    <cellStyle name="好 2" xfId="126"/>
    <cellStyle name="好 3" xfId="127"/>
    <cellStyle name="好 4" xfId="128"/>
    <cellStyle name="好 5" xfId="129"/>
    <cellStyle name="差 2" xfId="130"/>
    <cellStyle name="差 3" xfId="131"/>
    <cellStyle name="差 4" xfId="132"/>
    <cellStyle name="差 5" xfId="133"/>
    <cellStyle name="常规 2" xfId="134"/>
    <cellStyle name="常规 3" xfId="135"/>
    <cellStyle name="强调文字颜色 1 2" xfId="136"/>
    <cellStyle name="强调文字颜色 1 3" xfId="137"/>
    <cellStyle name="强调文字颜色 1 4" xfId="138"/>
    <cellStyle name="强调文字颜色 1 5" xfId="139"/>
    <cellStyle name="强调文字颜色 2 2" xfId="140"/>
    <cellStyle name="强调文字颜色 2 3" xfId="141"/>
    <cellStyle name="强调文字颜色 2 4" xfId="142"/>
    <cellStyle name="强调文字颜色 2 5" xfId="143"/>
    <cellStyle name="强调文字颜色 3 2" xfId="144"/>
    <cellStyle name="强调文字颜色 3 3" xfId="145"/>
    <cellStyle name="强调文字颜色 3 4" xfId="146"/>
    <cellStyle name="强调文字颜色 3 5" xfId="147"/>
    <cellStyle name="强调文字颜色 4 2" xfId="148"/>
    <cellStyle name="强调文字颜色 4 3" xfId="149"/>
    <cellStyle name="强调文字颜色 4 4" xfId="150"/>
    <cellStyle name="强调文字颜色 4 5" xfId="151"/>
    <cellStyle name="强调文字颜色 5 2" xfId="152"/>
    <cellStyle name="强调文字颜色 5 3" xfId="153"/>
    <cellStyle name="强调文字颜色 5 4" xfId="154"/>
    <cellStyle name="强调文字颜色 5 5" xfId="155"/>
    <cellStyle name="强调文字颜色 6 2" xfId="156"/>
    <cellStyle name="强调文字颜色 6 3" xfId="157"/>
    <cellStyle name="强调文字颜色 6 4" xfId="158"/>
    <cellStyle name="强调文字颜色 6 5" xfId="159"/>
    <cellStyle name="标题 1 2" xfId="160"/>
    <cellStyle name="标题 1 3" xfId="161"/>
    <cellStyle name="标题 1 4" xfId="162"/>
    <cellStyle name="标题 1 5" xfId="163"/>
    <cellStyle name="标题 2 2" xfId="164"/>
    <cellStyle name="标题 2 3" xfId="165"/>
    <cellStyle name="标题 2 4" xfId="166"/>
    <cellStyle name="标题 2 5" xfId="167"/>
    <cellStyle name="标题 3 2" xfId="168"/>
    <cellStyle name="标题 3 3" xfId="169"/>
    <cellStyle name="标题 3 4" xfId="170"/>
    <cellStyle name="标题 3 5" xfId="171"/>
    <cellStyle name="标题 4 2" xfId="172"/>
    <cellStyle name="标题 4 3" xfId="173"/>
    <cellStyle name="标题 4 4" xfId="174"/>
    <cellStyle name="标题 4 5" xfId="175"/>
    <cellStyle name="标题 5" xfId="176"/>
    <cellStyle name="标题 6" xfId="177"/>
    <cellStyle name="标题 7" xfId="178"/>
    <cellStyle name="标题 8" xfId="179"/>
    <cellStyle name="检查单元格 2" xfId="180"/>
    <cellStyle name="检查单元格 3" xfId="181"/>
    <cellStyle name="检查单元格 4" xfId="182"/>
    <cellStyle name="检查单元格 5" xfId="183"/>
    <cellStyle name="汇总 2" xfId="184"/>
    <cellStyle name="汇总 3" xfId="185"/>
    <cellStyle name="汇总 4" xfId="186"/>
    <cellStyle name="汇总 5" xfId="187"/>
    <cellStyle name="注释 2" xfId="188"/>
    <cellStyle name="解释性文本 2" xfId="189"/>
    <cellStyle name="解释性文本 3" xfId="190"/>
    <cellStyle name="解释性文本 4" xfId="191"/>
    <cellStyle name="解释性文本 5" xfId="192"/>
    <cellStyle name="警告文本 2" xfId="193"/>
    <cellStyle name="警告文本 3" xfId="194"/>
    <cellStyle name="警告文本 4" xfId="195"/>
    <cellStyle name="警告文本 5" xfId="196"/>
    <cellStyle name="计算 2" xfId="197"/>
    <cellStyle name="计算 3" xfId="198"/>
    <cellStyle name="计算 4" xfId="199"/>
    <cellStyle name="计算 5" xfId="200"/>
    <cellStyle name="输入 2" xfId="201"/>
    <cellStyle name="输入 3" xfId="202"/>
    <cellStyle name="输入 4" xfId="203"/>
    <cellStyle name="输入 5" xfId="204"/>
    <cellStyle name="输出 2" xfId="205"/>
    <cellStyle name="输出 3" xfId="206"/>
    <cellStyle name="输出 4" xfId="207"/>
    <cellStyle name="输出 5" xfId="208"/>
    <cellStyle name="适中 2" xfId="209"/>
    <cellStyle name="适中 3" xfId="210"/>
    <cellStyle name="适中 4" xfId="211"/>
    <cellStyle name="适中 5" xfId="212"/>
    <cellStyle name="链接单元格 2" xfId="213"/>
    <cellStyle name="链接单元格 3" xfId="214"/>
    <cellStyle name="链接单元格 4" xfId="215"/>
    <cellStyle name="链接单元格 5" xfId="216"/>
  </cellStyles>
  <dxfs count="1"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10160</xdr:colOff>
      <xdr:row>0</xdr:row>
      <xdr:rowOff>37465</xdr:rowOff>
    </xdr:from>
    <xdr:to>
      <xdr:col>2</xdr:col>
      <xdr:colOff>600710</xdr:colOff>
      <xdr:row>2</xdr:row>
      <xdr:rowOff>225425</xdr:rowOff>
    </xdr:to>
    <xdr:pic>
      <xdr:nvPicPr>
        <xdr:cNvPr id="5" name="ID_3CC97CAB80B54EEBA04231B2F067BC79" descr="Thiết kế chưa có tên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60" y="37465"/>
          <a:ext cx="2670810" cy="702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9"/>
  <sheetViews>
    <sheetView tabSelected="1" workbookViewId="0">
      <selection activeCell="A1" sqref="A1:C3"/>
    </sheetView>
  </sheetViews>
  <sheetFormatPr defaultColWidth="9" defaultRowHeight="14.25"/>
  <cols>
    <col min="1" max="1" width="18.283185840708" style="2" customWidth="1"/>
    <col min="2" max="2" width="10.7079646017699" style="2" customWidth="1"/>
    <col min="3" max="3" width="8.42477876106195" style="2" customWidth="1"/>
    <col min="4" max="4" width="6.85840707964602" style="2" customWidth="1"/>
    <col min="5" max="6" width="7.42477876106195" style="2" customWidth="1"/>
    <col min="7" max="7" width="10" style="2" customWidth="1"/>
    <col min="8" max="8" width="9.42477876106195" style="2" customWidth="1"/>
    <col min="9" max="9" width="7.28318584070797" style="2" customWidth="1"/>
    <col min="10" max="10" width="8.42477876106195" style="2" customWidth="1"/>
    <col min="11" max="11" width="7.28318584070797" style="2" customWidth="1"/>
    <col min="12" max="12" width="8.42477876106195" style="2" customWidth="1"/>
    <col min="13" max="13" width="6.70796460176991" style="3" customWidth="1"/>
    <col min="14" max="14" width="7" style="3" customWidth="1"/>
    <col min="15" max="15" width="6.85840707964602" style="2" customWidth="1"/>
    <col min="16" max="16" width="7.28318584070797" style="2" customWidth="1"/>
    <col min="17" max="17" width="7.42477876106195" style="2" customWidth="1"/>
    <col min="18" max="18" width="7.70796460176991" style="2" customWidth="1"/>
    <col min="19" max="19" width="5.85840707964602" style="2" customWidth="1"/>
    <col min="20" max="20" width="6.55752212389381" style="2" customWidth="1"/>
    <col min="21" max="21" width="6.42477876106195" style="2" customWidth="1"/>
    <col min="22" max="22" width="6.28318584070797" style="2" customWidth="1"/>
    <col min="23" max="23" width="7.55752212389381" style="2" customWidth="1"/>
    <col min="24" max="24" width="7" style="2" hidden="1" customWidth="1"/>
    <col min="25" max="16384" width="9" style="2"/>
  </cols>
  <sheetData>
    <row r="1" s="1" customFormat="1" ht="20.25" customHeight="1" spans="1:23">
      <c r="A1" s="4"/>
      <c r="B1" s="4"/>
      <c r="C1" s="4"/>
      <c r="D1" s="5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0" t="s">
        <v>1</v>
      </c>
      <c r="U1" s="50"/>
      <c r="V1" s="50" t="s">
        <v>2</v>
      </c>
      <c r="W1" s="50"/>
    </row>
    <row r="2" s="1" customFormat="1" ht="20.25" customHeight="1" spans="1:23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1" t="s">
        <v>3</v>
      </c>
      <c r="U2" s="51"/>
      <c r="V2" s="51" t="s">
        <v>4</v>
      </c>
      <c r="W2" s="51"/>
    </row>
    <row r="3" s="1" customFormat="1" ht="20.25" customHeight="1" spans="1:23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1" t="s">
        <v>5</v>
      </c>
      <c r="U3" s="51"/>
      <c r="V3" s="71" t="s">
        <v>6</v>
      </c>
      <c r="W3" s="52"/>
    </row>
    <row r="4" ht="15.75" spans="1:24">
      <c r="A4" s="6" t="s">
        <v>7</v>
      </c>
      <c r="B4" s="6"/>
      <c r="C4" s="7" t="s">
        <v>8</v>
      </c>
      <c r="D4" s="7"/>
      <c r="E4" s="8" t="s">
        <v>9</v>
      </c>
      <c r="F4" s="8"/>
      <c r="G4" s="8"/>
      <c r="H4" s="9">
        <v>20158141</v>
      </c>
      <c r="I4" s="9"/>
      <c r="J4" s="9"/>
      <c r="K4" s="9"/>
      <c r="L4" s="9"/>
      <c r="M4" s="9"/>
      <c r="N4" s="8" t="s">
        <v>10</v>
      </c>
      <c r="O4" s="8"/>
      <c r="P4" s="34" t="s">
        <v>11</v>
      </c>
      <c r="Q4" s="36"/>
      <c r="R4" s="7" t="s">
        <v>12</v>
      </c>
      <c r="S4" s="7"/>
      <c r="T4" s="53" t="s">
        <v>13</v>
      </c>
      <c r="U4" s="54"/>
      <c r="V4" s="54"/>
      <c r="W4" s="55"/>
      <c r="X4" s="56"/>
    </row>
    <row r="5" ht="15.75" spans="1:24">
      <c r="A5" s="6" t="s">
        <v>14</v>
      </c>
      <c r="B5" s="6"/>
      <c r="C5" s="7"/>
      <c r="D5" s="7"/>
      <c r="E5" s="10" t="s">
        <v>15</v>
      </c>
      <c r="F5" s="10"/>
      <c r="G5" s="10"/>
      <c r="H5" s="9"/>
      <c r="I5" s="9"/>
      <c r="J5" s="9"/>
      <c r="K5" s="9"/>
      <c r="L5" s="9"/>
      <c r="M5" s="9"/>
      <c r="N5" s="35" t="s">
        <v>16</v>
      </c>
      <c r="O5" s="35"/>
      <c r="P5" s="36"/>
      <c r="Q5" s="36"/>
      <c r="R5" s="57" t="s">
        <v>17</v>
      </c>
      <c r="S5" s="57"/>
      <c r="T5" s="58"/>
      <c r="U5" s="59"/>
      <c r="V5" s="59"/>
      <c r="W5" s="60"/>
      <c r="X5" s="56"/>
    </row>
    <row r="6" ht="25.5" customHeight="1" spans="1:25">
      <c r="A6" s="11" t="s">
        <v>18</v>
      </c>
      <c r="B6" s="12" t="s">
        <v>19</v>
      </c>
      <c r="C6" s="13" t="s">
        <v>20</v>
      </c>
      <c r="D6" s="12" t="s">
        <v>21</v>
      </c>
      <c r="E6" s="12" t="s">
        <v>22</v>
      </c>
      <c r="F6" s="12" t="s">
        <v>22</v>
      </c>
      <c r="G6" s="12" t="s">
        <v>23</v>
      </c>
      <c r="H6" s="12"/>
      <c r="I6" s="37" t="s">
        <v>24</v>
      </c>
      <c r="J6" s="37" t="s">
        <v>25</v>
      </c>
      <c r="K6" s="37" t="s">
        <v>26</v>
      </c>
      <c r="L6" s="37" t="s">
        <v>27</v>
      </c>
      <c r="M6" s="38" t="s">
        <v>28</v>
      </c>
      <c r="N6" s="38"/>
      <c r="O6" s="12" t="s">
        <v>29</v>
      </c>
      <c r="P6" s="39" t="s">
        <v>30</v>
      </c>
      <c r="Q6" s="39" t="s">
        <v>31</v>
      </c>
      <c r="R6" s="39" t="s">
        <v>32</v>
      </c>
      <c r="S6" s="39" t="s">
        <v>33</v>
      </c>
      <c r="T6" s="12" t="s">
        <v>34</v>
      </c>
      <c r="U6" s="12" t="s">
        <v>35</v>
      </c>
      <c r="V6" s="12" t="s">
        <v>36</v>
      </c>
      <c r="W6" s="12" t="s">
        <v>37</v>
      </c>
      <c r="X6" s="12"/>
      <c r="Y6" s="69"/>
    </row>
    <row r="7" customHeight="1" spans="1:25">
      <c r="A7" s="11" t="s">
        <v>38</v>
      </c>
      <c r="B7" s="12"/>
      <c r="C7" s="12" t="s">
        <v>39</v>
      </c>
      <c r="D7" s="12"/>
      <c r="E7" s="12"/>
      <c r="F7" s="12"/>
      <c r="G7" s="12" t="s">
        <v>40</v>
      </c>
      <c r="H7" s="12" t="s">
        <v>41</v>
      </c>
      <c r="I7" s="37"/>
      <c r="J7" s="37"/>
      <c r="K7" s="37"/>
      <c r="L7" s="37"/>
      <c r="M7" s="38" t="s">
        <v>40</v>
      </c>
      <c r="N7" s="38" t="s">
        <v>41</v>
      </c>
      <c r="O7" s="12"/>
      <c r="P7" s="39"/>
      <c r="Q7" s="39"/>
      <c r="R7" s="39"/>
      <c r="S7" s="39"/>
      <c r="T7" s="12"/>
      <c r="U7" s="12"/>
      <c r="V7" s="12"/>
      <c r="W7" s="12"/>
      <c r="X7" s="12"/>
      <c r="Y7" s="69"/>
    </row>
    <row r="8" ht="23.25" spans="1:25">
      <c r="A8" s="11"/>
      <c r="B8" s="12"/>
      <c r="C8" s="12"/>
      <c r="D8" s="12"/>
      <c r="E8" s="14" t="s">
        <v>42</v>
      </c>
      <c r="F8" s="14" t="s">
        <v>43</v>
      </c>
      <c r="G8" s="12"/>
      <c r="H8" s="12"/>
      <c r="I8" s="37"/>
      <c r="J8" s="37"/>
      <c r="K8" s="37"/>
      <c r="L8" s="37"/>
      <c r="M8" s="38"/>
      <c r="N8" s="38"/>
      <c r="O8" s="12"/>
      <c r="P8" s="39"/>
      <c r="Q8" s="39"/>
      <c r="R8" s="39"/>
      <c r="S8" s="39"/>
      <c r="T8" s="12"/>
      <c r="U8" s="12"/>
      <c r="V8" s="12"/>
      <c r="W8" s="12"/>
      <c r="X8" s="12"/>
      <c r="Y8" s="69"/>
    </row>
    <row r="9" ht="15.75" customHeight="1" spans="1:25">
      <c r="A9" s="15" t="s">
        <v>44</v>
      </c>
      <c r="B9" s="16" t="s">
        <v>45</v>
      </c>
      <c r="C9" s="16" t="s">
        <v>45</v>
      </c>
      <c r="D9" s="17" t="s">
        <v>46</v>
      </c>
      <c r="E9" s="16" t="s">
        <v>47</v>
      </c>
      <c r="F9" s="16" t="s">
        <v>48</v>
      </c>
      <c r="G9" s="16" t="s">
        <v>49</v>
      </c>
      <c r="H9" s="16" t="s">
        <v>50</v>
      </c>
      <c r="I9" s="40" t="s">
        <v>51</v>
      </c>
      <c r="J9" s="41" t="s">
        <v>52</v>
      </c>
      <c r="K9" s="40" t="s">
        <v>53</v>
      </c>
      <c r="L9" s="41" t="s">
        <v>54</v>
      </c>
      <c r="M9" s="42" t="s">
        <v>55</v>
      </c>
      <c r="N9" s="42" t="s">
        <v>56</v>
      </c>
      <c r="O9" s="16" t="s">
        <v>45</v>
      </c>
      <c r="P9" s="16" t="s">
        <v>45</v>
      </c>
      <c r="Q9" s="16" t="s">
        <v>45</v>
      </c>
      <c r="R9" s="16" t="s">
        <v>45</v>
      </c>
      <c r="S9" s="16" t="s">
        <v>45</v>
      </c>
      <c r="T9" s="16" t="s">
        <v>45</v>
      </c>
      <c r="U9" s="16" t="s">
        <v>45</v>
      </c>
      <c r="V9" s="16" t="s">
        <v>45</v>
      </c>
      <c r="W9" s="16" t="s">
        <v>45</v>
      </c>
      <c r="X9" s="61" t="s">
        <v>57</v>
      </c>
      <c r="Y9" s="69"/>
    </row>
    <row r="10" ht="15.75" customHeight="1" spans="1:25">
      <c r="A10" s="18"/>
      <c r="B10" s="16"/>
      <c r="C10" s="16"/>
      <c r="D10" s="17"/>
      <c r="E10" s="16"/>
      <c r="F10" s="16"/>
      <c r="G10" s="16"/>
      <c r="H10" s="16"/>
      <c r="I10" s="40"/>
      <c r="J10" s="41"/>
      <c r="K10" s="40"/>
      <c r="L10" s="41"/>
      <c r="M10" s="42"/>
      <c r="N10" s="42"/>
      <c r="O10" s="16"/>
      <c r="P10" s="16"/>
      <c r="Q10" s="16"/>
      <c r="R10" s="16"/>
      <c r="S10" s="16"/>
      <c r="T10" s="16"/>
      <c r="U10" s="16"/>
      <c r="V10" s="16"/>
      <c r="W10" s="16"/>
      <c r="X10" s="61"/>
      <c r="Y10" s="69"/>
    </row>
    <row r="11" ht="15.75" spans="1:25">
      <c r="A11" s="19" t="s">
        <v>58</v>
      </c>
      <c r="B11" s="20" t="s">
        <v>45</v>
      </c>
      <c r="C11" s="20" t="s">
        <v>45</v>
      </c>
      <c r="D11" s="21" t="s">
        <v>59</v>
      </c>
      <c r="E11" s="22">
        <v>90.74</v>
      </c>
      <c r="F11" s="22">
        <v>89.3</v>
      </c>
      <c r="G11" s="22">
        <v>300.76</v>
      </c>
      <c r="H11" s="22">
        <v>133.54</v>
      </c>
      <c r="I11" s="43">
        <v>3325</v>
      </c>
      <c r="J11" s="43">
        <v>932</v>
      </c>
      <c r="K11" s="43">
        <v>1847</v>
      </c>
      <c r="L11" s="43">
        <v>602</v>
      </c>
      <c r="M11" s="22">
        <v>69.33</v>
      </c>
      <c r="N11" s="22">
        <v>54.67</v>
      </c>
      <c r="O11" s="20" t="s">
        <v>45</v>
      </c>
      <c r="P11" s="20" t="s">
        <v>45</v>
      </c>
      <c r="Q11" s="20" t="s">
        <v>45</v>
      </c>
      <c r="R11" s="20" t="s">
        <v>45</v>
      </c>
      <c r="S11" s="20" t="s">
        <v>45</v>
      </c>
      <c r="T11" s="20" t="s">
        <v>45</v>
      </c>
      <c r="U11" s="20" t="s">
        <v>45</v>
      </c>
      <c r="V11" s="20" t="s">
        <v>45</v>
      </c>
      <c r="W11" s="20" t="s">
        <v>45</v>
      </c>
      <c r="X11" s="62"/>
      <c r="Y11" s="70"/>
    </row>
    <row r="12" ht="15.75" spans="1:25">
      <c r="A12" s="19" t="s">
        <v>60</v>
      </c>
      <c r="B12" s="20" t="s">
        <v>45</v>
      </c>
      <c r="C12" s="20" t="s">
        <v>45</v>
      </c>
      <c r="D12" s="21" t="s">
        <v>59</v>
      </c>
      <c r="E12" s="22">
        <v>90.42</v>
      </c>
      <c r="F12" s="22">
        <v>85.4</v>
      </c>
      <c r="G12" s="22">
        <v>303.5</v>
      </c>
      <c r="H12" s="22">
        <v>130.14</v>
      </c>
      <c r="I12" s="43">
        <v>3326</v>
      </c>
      <c r="J12" s="43">
        <v>991</v>
      </c>
      <c r="K12" s="43">
        <v>1865</v>
      </c>
      <c r="L12" s="43">
        <v>534</v>
      </c>
      <c r="M12" s="22">
        <v>70.69</v>
      </c>
      <c r="N12" s="22">
        <v>56.38</v>
      </c>
      <c r="O12" s="20" t="s">
        <v>45</v>
      </c>
      <c r="P12" s="20" t="s">
        <v>45</v>
      </c>
      <c r="Q12" s="20" t="s">
        <v>45</v>
      </c>
      <c r="R12" s="20" t="s">
        <v>45</v>
      </c>
      <c r="S12" s="20" t="s">
        <v>45</v>
      </c>
      <c r="T12" s="20" t="s">
        <v>45</v>
      </c>
      <c r="U12" s="20" t="s">
        <v>45</v>
      </c>
      <c r="V12" s="20" t="s">
        <v>45</v>
      </c>
      <c r="W12" s="20" t="s">
        <v>45</v>
      </c>
      <c r="X12" s="62"/>
      <c r="Y12" s="69"/>
    </row>
    <row r="13" ht="15.75" spans="1:25">
      <c r="A13" s="19" t="s">
        <v>61</v>
      </c>
      <c r="B13" s="20" t="s">
        <v>45</v>
      </c>
      <c r="C13" s="20" t="s">
        <v>45</v>
      </c>
      <c r="D13" s="21" t="s">
        <v>59</v>
      </c>
      <c r="E13" s="22">
        <v>86.62</v>
      </c>
      <c r="F13" s="22">
        <v>90.04</v>
      </c>
      <c r="G13" s="22">
        <v>299.84</v>
      </c>
      <c r="H13" s="22">
        <v>131.83</v>
      </c>
      <c r="I13" s="43">
        <v>3320</v>
      </c>
      <c r="J13" s="43">
        <v>909</v>
      </c>
      <c r="K13" s="43">
        <v>1911</v>
      </c>
      <c r="L13" s="43">
        <v>595</v>
      </c>
      <c r="M13" s="22">
        <v>65.44</v>
      </c>
      <c r="N13" s="22">
        <v>57.15</v>
      </c>
      <c r="O13" s="20" t="s">
        <v>45</v>
      </c>
      <c r="P13" s="20" t="s">
        <v>45</v>
      </c>
      <c r="Q13" s="20" t="s">
        <v>45</v>
      </c>
      <c r="R13" s="20" t="s">
        <v>45</v>
      </c>
      <c r="S13" s="20" t="s">
        <v>45</v>
      </c>
      <c r="T13" s="20" t="s">
        <v>45</v>
      </c>
      <c r="U13" s="20" t="s">
        <v>45</v>
      </c>
      <c r="V13" s="20" t="s">
        <v>45</v>
      </c>
      <c r="W13" s="20" t="s">
        <v>45</v>
      </c>
      <c r="X13" s="62"/>
      <c r="Y13" s="69"/>
    </row>
    <row r="14" ht="15.75" spans="1:25">
      <c r="A14" s="19" t="s">
        <v>62</v>
      </c>
      <c r="B14" s="20" t="s">
        <v>45</v>
      </c>
      <c r="C14" s="20" t="s">
        <v>45</v>
      </c>
      <c r="D14" s="21" t="s">
        <v>59</v>
      </c>
      <c r="E14" s="22">
        <v>86.59</v>
      </c>
      <c r="F14" s="22">
        <v>88.07</v>
      </c>
      <c r="G14" s="22">
        <v>293.1</v>
      </c>
      <c r="H14" s="22">
        <v>129.47</v>
      </c>
      <c r="I14" s="43">
        <v>3274</v>
      </c>
      <c r="J14" s="43">
        <v>941</v>
      </c>
      <c r="K14" s="43">
        <v>1843</v>
      </c>
      <c r="L14" s="43">
        <v>569</v>
      </c>
      <c r="M14" s="22">
        <v>65.79</v>
      </c>
      <c r="N14" s="22">
        <v>57.25</v>
      </c>
      <c r="O14" s="20" t="s">
        <v>45</v>
      </c>
      <c r="P14" s="20" t="s">
        <v>45</v>
      </c>
      <c r="Q14" s="20" t="s">
        <v>45</v>
      </c>
      <c r="R14" s="20" t="s">
        <v>45</v>
      </c>
      <c r="S14" s="20" t="s">
        <v>45</v>
      </c>
      <c r="T14" s="20" t="s">
        <v>45</v>
      </c>
      <c r="U14" s="20" t="s">
        <v>45</v>
      </c>
      <c r="V14" s="20" t="s">
        <v>45</v>
      </c>
      <c r="W14" s="20" t="s">
        <v>45</v>
      </c>
      <c r="X14" s="62"/>
      <c r="Y14" s="69"/>
    </row>
    <row r="15" ht="15.75" spans="1:25">
      <c r="A15" s="19" t="s">
        <v>63</v>
      </c>
      <c r="B15" s="20" t="s">
        <v>45</v>
      </c>
      <c r="C15" s="20" t="s">
        <v>45</v>
      </c>
      <c r="D15" s="21" t="s">
        <v>59</v>
      </c>
      <c r="E15" s="22">
        <v>90.1</v>
      </c>
      <c r="F15" s="22">
        <v>87.24</v>
      </c>
      <c r="G15" s="22">
        <v>288.56</v>
      </c>
      <c r="H15" s="22">
        <v>130.04</v>
      </c>
      <c r="I15" s="43">
        <v>3328</v>
      </c>
      <c r="J15" s="43">
        <v>905</v>
      </c>
      <c r="K15" s="43">
        <v>1923</v>
      </c>
      <c r="L15" s="43">
        <v>530</v>
      </c>
      <c r="M15" s="22">
        <v>67.9</v>
      </c>
      <c r="N15" s="22">
        <v>59.71</v>
      </c>
      <c r="O15" s="20" t="s">
        <v>45</v>
      </c>
      <c r="P15" s="20" t="s">
        <v>45</v>
      </c>
      <c r="Q15" s="20" t="s">
        <v>45</v>
      </c>
      <c r="R15" s="20" t="s">
        <v>45</v>
      </c>
      <c r="S15" s="20" t="s">
        <v>45</v>
      </c>
      <c r="T15" s="20" t="s">
        <v>45</v>
      </c>
      <c r="U15" s="20" t="s">
        <v>45</v>
      </c>
      <c r="V15" s="20" t="s">
        <v>45</v>
      </c>
      <c r="W15" s="20" t="s">
        <v>45</v>
      </c>
      <c r="X15" s="62"/>
      <c r="Y15" s="69"/>
    </row>
    <row r="16" ht="15.75" spans="1:24">
      <c r="A16" s="19">
        <v>6</v>
      </c>
      <c r="B16" s="19"/>
      <c r="C16" s="23"/>
      <c r="D16" s="24"/>
      <c r="E16" s="22"/>
      <c r="F16" s="22"/>
      <c r="G16" s="22"/>
      <c r="H16" s="22"/>
      <c r="I16" s="44"/>
      <c r="J16" s="22"/>
      <c r="K16" s="44"/>
      <c r="L16" s="44"/>
      <c r="M16" s="44"/>
      <c r="N16" s="44"/>
      <c r="O16" s="45"/>
      <c r="P16" s="24"/>
      <c r="Q16" s="24"/>
      <c r="R16" s="63"/>
      <c r="S16" s="63"/>
      <c r="T16" s="24"/>
      <c r="U16" s="64"/>
      <c r="V16" s="64"/>
      <c r="W16" s="64"/>
      <c r="X16" s="62"/>
    </row>
    <row r="17" ht="15.75" spans="1:24">
      <c r="A17" s="19">
        <v>7</v>
      </c>
      <c r="B17" s="19"/>
      <c r="C17" s="23"/>
      <c r="D17" s="24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7"/>
      <c r="P17" s="24"/>
      <c r="Q17" s="24"/>
      <c r="R17" s="63"/>
      <c r="S17" s="63"/>
      <c r="T17" s="24"/>
      <c r="U17" s="64"/>
      <c r="V17" s="64"/>
      <c r="W17" s="64"/>
      <c r="X17" s="62"/>
    </row>
    <row r="18" ht="15.75" spans="1:24">
      <c r="A18" s="25">
        <v>8</v>
      </c>
      <c r="B18" s="26"/>
      <c r="C18" s="23"/>
      <c r="D18" s="24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7"/>
      <c r="P18" s="24"/>
      <c r="Q18" s="24"/>
      <c r="R18" s="63"/>
      <c r="S18" s="63"/>
      <c r="T18" s="24"/>
      <c r="U18" s="64"/>
      <c r="V18" s="64"/>
      <c r="W18" s="64"/>
      <c r="X18" s="62"/>
    </row>
    <row r="19" ht="15.75" spans="1:24">
      <c r="A19" s="25">
        <v>9</v>
      </c>
      <c r="B19" s="26"/>
      <c r="C19" s="23"/>
      <c r="D19" s="24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7"/>
      <c r="P19" s="46"/>
      <c r="Q19" s="24"/>
      <c r="R19" s="63"/>
      <c r="S19" s="63"/>
      <c r="T19" s="24"/>
      <c r="U19" s="64"/>
      <c r="V19" s="64"/>
      <c r="W19" s="64"/>
      <c r="X19" s="62"/>
    </row>
    <row r="20" ht="15.75" spans="1:24">
      <c r="A20" s="25">
        <v>10</v>
      </c>
      <c r="B20" s="26"/>
      <c r="C20" s="23"/>
      <c r="D20" s="24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7"/>
      <c r="P20" s="46"/>
      <c r="Q20" s="24"/>
      <c r="R20" s="63"/>
      <c r="S20" s="63"/>
      <c r="T20" s="24"/>
      <c r="U20" s="64"/>
      <c r="V20" s="64"/>
      <c r="W20" s="64"/>
      <c r="X20" s="62"/>
    </row>
    <row r="21" ht="15.75" spans="1:24">
      <c r="A21" s="25">
        <v>11</v>
      </c>
      <c r="B21" s="26"/>
      <c r="C21" s="23"/>
      <c r="D21" s="24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7"/>
      <c r="P21" s="46"/>
      <c r="Q21" s="24"/>
      <c r="R21" s="63"/>
      <c r="S21" s="63"/>
      <c r="T21" s="24"/>
      <c r="U21" s="64"/>
      <c r="V21" s="64"/>
      <c r="W21" s="64"/>
      <c r="X21" s="62"/>
    </row>
    <row r="22" ht="15.75" spans="1:24">
      <c r="A22" s="25">
        <v>12</v>
      </c>
      <c r="B22" s="26"/>
      <c r="C22" s="23"/>
      <c r="D22" s="24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7"/>
      <c r="P22" s="46"/>
      <c r="Q22" s="24"/>
      <c r="R22" s="63"/>
      <c r="S22" s="63"/>
      <c r="T22" s="24"/>
      <c r="U22" s="64"/>
      <c r="V22" s="64"/>
      <c r="W22" s="64"/>
      <c r="X22" s="62"/>
    </row>
    <row r="23" ht="15.75" spans="1:24">
      <c r="A23" s="25">
        <v>13</v>
      </c>
      <c r="B23" s="26"/>
      <c r="C23" s="23"/>
      <c r="D23" s="24"/>
      <c r="E23" s="27"/>
      <c r="F23" s="28"/>
      <c r="G23" s="28"/>
      <c r="H23" s="27"/>
      <c r="I23" s="28"/>
      <c r="J23" s="27"/>
      <c r="K23" s="28"/>
      <c r="L23" s="27"/>
      <c r="M23" s="27"/>
      <c r="N23" s="47"/>
      <c r="O23" s="27"/>
      <c r="P23" s="46"/>
      <c r="Q23" s="24"/>
      <c r="R23" s="63"/>
      <c r="S23" s="63"/>
      <c r="T23" s="24"/>
      <c r="U23" s="64"/>
      <c r="V23" s="64"/>
      <c r="W23" s="64"/>
      <c r="X23" s="62"/>
    </row>
    <row r="24" ht="15.75" spans="1:24">
      <c r="A24" s="25">
        <v>14</v>
      </c>
      <c r="B24" s="26"/>
      <c r="C24" s="23"/>
      <c r="D24" s="24"/>
      <c r="E24" s="26"/>
      <c r="F24" s="26"/>
      <c r="G24" s="26"/>
      <c r="H24" s="26"/>
      <c r="I24" s="26"/>
      <c r="J24" s="26"/>
      <c r="K24" s="26"/>
      <c r="L24" s="26"/>
      <c r="M24" s="28"/>
      <c r="N24" s="27"/>
      <c r="O24" s="26"/>
      <c r="P24" s="26"/>
      <c r="Q24" s="26"/>
      <c r="R24" s="26"/>
      <c r="S24" s="26"/>
      <c r="T24" s="24"/>
      <c r="U24" s="26"/>
      <c r="V24" s="26"/>
      <c r="W24" s="64"/>
      <c r="X24" s="62"/>
    </row>
    <row r="25" ht="15.75" spans="1:24">
      <c r="A25" s="25">
        <v>15</v>
      </c>
      <c r="B25" s="26"/>
      <c r="C25" s="23"/>
      <c r="D25" s="24"/>
      <c r="E25" s="26"/>
      <c r="F25" s="26"/>
      <c r="G25" s="26"/>
      <c r="H25" s="26"/>
      <c r="I25" s="26"/>
      <c r="J25" s="26"/>
      <c r="K25" s="26"/>
      <c r="L25" s="26"/>
      <c r="M25" s="28"/>
      <c r="N25" s="46"/>
      <c r="O25" s="26"/>
      <c r="P25" s="26"/>
      <c r="Q25" s="26"/>
      <c r="R25" s="26"/>
      <c r="S25" s="26"/>
      <c r="T25" s="24"/>
      <c r="U25" s="26"/>
      <c r="V25" s="26"/>
      <c r="W25" s="64"/>
      <c r="X25" s="62"/>
    </row>
    <row r="26" ht="15.75" spans="1:24">
      <c r="A26" s="25">
        <v>16</v>
      </c>
      <c r="B26" s="26"/>
      <c r="C26" s="23"/>
      <c r="D26" s="24"/>
      <c r="E26" s="26"/>
      <c r="F26" s="26"/>
      <c r="G26" s="26"/>
      <c r="H26" s="26"/>
      <c r="I26" s="26"/>
      <c r="J26" s="26"/>
      <c r="K26" s="26"/>
      <c r="L26" s="26"/>
      <c r="M26" s="28"/>
      <c r="N26" s="46"/>
      <c r="O26" s="26"/>
      <c r="P26" s="26"/>
      <c r="Q26" s="26"/>
      <c r="R26" s="26"/>
      <c r="S26" s="26"/>
      <c r="T26" s="24"/>
      <c r="U26" s="26"/>
      <c r="V26" s="26"/>
      <c r="W26" s="64"/>
      <c r="X26" s="62"/>
    </row>
    <row r="27" ht="15.75" spans="1:24">
      <c r="A27" s="25">
        <v>17</v>
      </c>
      <c r="B27" s="26"/>
      <c r="C27" s="23"/>
      <c r="D27" s="24"/>
      <c r="E27" s="26"/>
      <c r="F27" s="26"/>
      <c r="G27" s="26"/>
      <c r="H27" s="26"/>
      <c r="I27" s="26"/>
      <c r="J27" s="26"/>
      <c r="K27" s="26"/>
      <c r="L27" s="26"/>
      <c r="M27" s="28"/>
      <c r="N27" s="46"/>
      <c r="O27" s="26"/>
      <c r="P27" s="26"/>
      <c r="Q27" s="26"/>
      <c r="R27" s="26"/>
      <c r="S27" s="26"/>
      <c r="T27" s="24"/>
      <c r="U27" s="26"/>
      <c r="V27" s="26"/>
      <c r="W27" s="64"/>
      <c r="X27" s="62"/>
    </row>
    <row r="28" ht="15.75" spans="1:24">
      <c r="A28" s="25">
        <v>18</v>
      </c>
      <c r="B28" s="26"/>
      <c r="C28" s="23"/>
      <c r="D28" s="24"/>
      <c r="E28" s="26"/>
      <c r="F28" s="26"/>
      <c r="G28" s="26"/>
      <c r="H28" s="26"/>
      <c r="I28" s="26"/>
      <c r="J28" s="26"/>
      <c r="K28" s="26"/>
      <c r="L28" s="26"/>
      <c r="M28" s="28"/>
      <c r="N28" s="46"/>
      <c r="O28" s="26"/>
      <c r="P28" s="26"/>
      <c r="Q28" s="26"/>
      <c r="R28" s="26"/>
      <c r="S28" s="26"/>
      <c r="T28" s="24"/>
      <c r="U28" s="26"/>
      <c r="V28" s="26"/>
      <c r="W28" s="64"/>
      <c r="X28" s="62"/>
    </row>
    <row r="29" ht="15.75" spans="1:24">
      <c r="A29" s="25">
        <v>19</v>
      </c>
      <c r="B29" s="26"/>
      <c r="C29" s="23"/>
      <c r="D29" s="24"/>
      <c r="E29" s="26"/>
      <c r="F29" s="26"/>
      <c r="G29" s="26"/>
      <c r="H29" s="26"/>
      <c r="I29" s="26"/>
      <c r="J29" s="26"/>
      <c r="K29" s="26"/>
      <c r="L29" s="26"/>
      <c r="M29" s="28"/>
      <c r="N29" s="46"/>
      <c r="O29" s="26"/>
      <c r="P29" s="26"/>
      <c r="Q29" s="26"/>
      <c r="R29" s="26"/>
      <c r="S29" s="26"/>
      <c r="T29" s="24"/>
      <c r="U29" s="26"/>
      <c r="V29" s="26"/>
      <c r="W29" s="64"/>
      <c r="X29" s="62"/>
    </row>
    <row r="30" ht="15.75" spans="1:24">
      <c r="A30" s="25">
        <v>20</v>
      </c>
      <c r="B30" s="26"/>
      <c r="C30" s="23"/>
      <c r="D30" s="24"/>
      <c r="E30" s="26"/>
      <c r="F30" s="26"/>
      <c r="G30" s="26"/>
      <c r="H30" s="26"/>
      <c r="I30" s="26"/>
      <c r="J30" s="26"/>
      <c r="K30" s="26"/>
      <c r="L30" s="26"/>
      <c r="M30" s="28"/>
      <c r="N30" s="46"/>
      <c r="O30" s="26"/>
      <c r="P30" s="26"/>
      <c r="Q30" s="26"/>
      <c r="R30" s="26"/>
      <c r="S30" s="26"/>
      <c r="T30" s="24"/>
      <c r="U30" s="26"/>
      <c r="V30" s="26"/>
      <c r="W30" s="64"/>
      <c r="X30" s="62"/>
    </row>
    <row r="31" spans="1:25">
      <c r="A31" s="29" t="s">
        <v>64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 t="str">
        <f t="shared" ref="U31:X31" si="0">IF(U11=" "," ",IF(MIN(U11:U30)=0," ",MIN(U11:U30)))</f>
        <v> </v>
      </c>
      <c r="V31" s="30" t="str">
        <f t="shared" si="0"/>
        <v> </v>
      </c>
      <c r="W31" s="30" t="str">
        <f t="shared" si="0"/>
        <v> </v>
      </c>
      <c r="X31" s="65" t="str">
        <f t="shared" si="0"/>
        <v> </v>
      </c>
      <c r="Y31" s="69"/>
    </row>
    <row r="32" spans="1:25">
      <c r="A32" s="29" t="s">
        <v>65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 t="str">
        <f t="shared" ref="U32:X32" si="1">IF(U11=" "," ",IF(U31=" "," ",AVERAGE(U11:U30)))</f>
        <v> </v>
      </c>
      <c r="V32" s="30" t="str">
        <f t="shared" si="1"/>
        <v> </v>
      </c>
      <c r="W32" s="30" t="str">
        <f t="shared" si="1"/>
        <v> </v>
      </c>
      <c r="X32" s="65" t="str">
        <f t="shared" si="1"/>
        <v> </v>
      </c>
      <c r="Y32" s="69"/>
    </row>
    <row r="33" spans="1:25">
      <c r="A33" s="29" t="s">
        <v>66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 t="str">
        <f t="shared" ref="U33:X33" si="2">IF(U11=" "," ",IF(U31=" "," ",MAX(U11:U30)))</f>
        <v> </v>
      </c>
      <c r="V33" s="30" t="str">
        <f t="shared" si="2"/>
        <v> </v>
      </c>
      <c r="W33" s="30" t="str">
        <f t="shared" si="2"/>
        <v> </v>
      </c>
      <c r="X33" s="65" t="str">
        <f t="shared" si="2"/>
        <v> </v>
      </c>
      <c r="Y33" s="69"/>
    </row>
    <row r="34" spans="1:25">
      <c r="A34" s="29" t="s">
        <v>67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 t="str">
        <f t="shared" ref="U34:X34" si="3">IF(U11=" "," ",IF(U31=" "," ",STDEV(U11:U30)))</f>
        <v> </v>
      </c>
      <c r="V34" s="30" t="str">
        <f t="shared" si="3"/>
        <v> </v>
      </c>
      <c r="W34" s="30" t="str">
        <f t="shared" si="3"/>
        <v> </v>
      </c>
      <c r="X34" s="65" t="str">
        <f t="shared" si="3"/>
        <v> </v>
      </c>
      <c r="Y34" s="69"/>
    </row>
    <row r="35" ht="15.75" spans="1:25">
      <c r="A35" s="31" t="s">
        <v>38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48"/>
      <c r="N35" s="48"/>
      <c r="O35" s="32"/>
      <c r="P35" s="32"/>
      <c r="Q35" s="32"/>
      <c r="R35" s="32"/>
      <c r="S35" s="32"/>
      <c r="T35" s="32"/>
      <c r="U35" s="66"/>
      <c r="V35" s="66"/>
      <c r="W35" s="66"/>
      <c r="X35" s="67"/>
      <c r="Y35" s="69"/>
    </row>
    <row r="36" ht="15.75" spans="1:23">
      <c r="A36" s="33" t="s">
        <v>68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49"/>
      <c r="N36" s="49"/>
      <c r="O36" s="33"/>
      <c r="P36" s="33"/>
      <c r="Q36" s="33"/>
      <c r="R36" s="33"/>
      <c r="S36" s="33"/>
      <c r="T36" s="33"/>
      <c r="U36" s="68"/>
      <c r="V36" s="68"/>
      <c r="W36"/>
    </row>
    <row r="38" spans="21:22">
      <c r="U38" s="69"/>
      <c r="V38" s="69"/>
    </row>
    <row r="39" spans="22:22">
      <c r="V39" s="69"/>
    </row>
  </sheetData>
  <mergeCells count="70">
    <mergeCell ref="T1:U1"/>
    <mergeCell ref="V1:W1"/>
    <mergeCell ref="T2:U2"/>
    <mergeCell ref="V2:W2"/>
    <mergeCell ref="T3:U3"/>
    <mergeCell ref="V3:W3"/>
    <mergeCell ref="A4:B4"/>
    <mergeCell ref="E4:G4"/>
    <mergeCell ref="N4:O4"/>
    <mergeCell ref="R4:S4"/>
    <mergeCell ref="A5:B5"/>
    <mergeCell ref="E5:G5"/>
    <mergeCell ref="N5:O5"/>
    <mergeCell ref="R5:S5"/>
    <mergeCell ref="G6:H6"/>
    <mergeCell ref="M6:N6"/>
    <mergeCell ref="A7:A8"/>
    <mergeCell ref="A9:A10"/>
    <mergeCell ref="B6:B8"/>
    <mergeCell ref="B9:B10"/>
    <mergeCell ref="C7:C8"/>
    <mergeCell ref="C9:C10"/>
    <mergeCell ref="D6:D8"/>
    <mergeCell ref="D9:D10"/>
    <mergeCell ref="E6:E7"/>
    <mergeCell ref="E9:E10"/>
    <mergeCell ref="F6:F7"/>
    <mergeCell ref="F9:F10"/>
    <mergeCell ref="G7:G8"/>
    <mergeCell ref="G9:G10"/>
    <mergeCell ref="H7:H8"/>
    <mergeCell ref="H9:H10"/>
    <mergeCell ref="I6:I8"/>
    <mergeCell ref="I9:I10"/>
    <mergeCell ref="J6:J8"/>
    <mergeCell ref="J9:J10"/>
    <mergeCell ref="K6:K8"/>
    <mergeCell ref="K9:K10"/>
    <mergeCell ref="L6:L8"/>
    <mergeCell ref="L9:L10"/>
    <mergeCell ref="M7:M8"/>
    <mergeCell ref="M9:M10"/>
    <mergeCell ref="N7:N8"/>
    <mergeCell ref="N9:N10"/>
    <mergeCell ref="O6:O8"/>
    <mergeCell ref="O9:O10"/>
    <mergeCell ref="P6:P8"/>
    <mergeCell ref="P9:P10"/>
    <mergeCell ref="Q6:Q8"/>
    <mergeCell ref="Q9:Q10"/>
    <mergeCell ref="R6:R8"/>
    <mergeCell ref="R9:R10"/>
    <mergeCell ref="S6:S8"/>
    <mergeCell ref="S9:S10"/>
    <mergeCell ref="T6:T8"/>
    <mergeCell ref="T9:T10"/>
    <mergeCell ref="U6:U8"/>
    <mergeCell ref="U9:U10"/>
    <mergeCell ref="V6:V8"/>
    <mergeCell ref="V9:V10"/>
    <mergeCell ref="W6:W8"/>
    <mergeCell ref="W9:W10"/>
    <mergeCell ref="X6:X8"/>
    <mergeCell ref="X9:X10"/>
    <mergeCell ref="A1:C3"/>
    <mergeCell ref="D1:S3"/>
    <mergeCell ref="T4:W5"/>
    <mergeCell ref="C4:D5"/>
    <mergeCell ref="H4:M5"/>
    <mergeCell ref="P4:Q5"/>
  </mergeCells>
  <conditionalFormatting sqref="G22">
    <cfRule type="cellIs" dxfId="0" priority="38" stopIfTrue="1" operator="lessThan">
      <formula>154</formula>
    </cfRule>
    <cfRule type="cellIs" dxfId="0" priority="37" stopIfTrue="1" operator="lessThan">
      <formula>160</formula>
    </cfRule>
    <cfRule type="cellIs" dxfId="0" priority="36" stopIfTrue="1" operator="lessThan">
      <formula>154</formula>
    </cfRule>
    <cfRule type="cellIs" dxfId="0" priority="35" stopIfTrue="1" operator="lessThan">
      <formula>160</formula>
    </cfRule>
  </conditionalFormatting>
  <conditionalFormatting sqref="I23">
    <cfRule type="cellIs" dxfId="0" priority="39" stopIfTrue="1" operator="lessThan">
      <formula>18.5</formula>
    </cfRule>
    <cfRule type="cellIs" dxfId="0" priority="40" stopIfTrue="1" operator="lessThan">
      <formula>18.5</formula>
    </cfRule>
  </conditionalFormatting>
  <conditionalFormatting sqref="G11:G15">
    <cfRule type="cellIs" dxfId="0" priority="22" stopIfTrue="1" operator="lessThan">
      <formula>154</formula>
    </cfRule>
    <cfRule type="cellIs" dxfId="0" priority="21" stopIfTrue="1" operator="lessThan">
      <formula>160</formula>
    </cfRule>
    <cfRule type="cellIs" dxfId="0" priority="20" stopIfTrue="1" operator="lessThan">
      <formula>154</formula>
    </cfRule>
    <cfRule type="cellIs" dxfId="0" priority="19" stopIfTrue="1" operator="lessThan">
      <formula>160</formula>
    </cfRule>
  </conditionalFormatting>
  <printOptions horizontalCentered="1" verticalCentered="1"/>
  <pageMargins left="0" right="0" top="0" bottom="0" header="0" footer="0"/>
  <pageSetup paperSize="9" scale="85" orientation="landscape"/>
  <headerFooter/>
  <ignoredErrors>
    <ignoredError sqref="V3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Sh1n</cp:lastModifiedBy>
  <dcterms:created xsi:type="dcterms:W3CDTF">2006-09-16T00:00:00Z</dcterms:created>
  <cp:lastPrinted>2022-12-21T08:15:00Z</cp:lastPrinted>
  <dcterms:modified xsi:type="dcterms:W3CDTF">2025-10-14T09:17:20Z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F46BC399F949469190DFD6FC306114A4_13</vt:lpwstr>
  </property>
</Properties>
</file>