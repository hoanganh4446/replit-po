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2" windowHeight="12480"/>
  </bookViews>
  <sheets>
    <sheet name="Data record" sheetId="1" r:id="rId1"/>
  </sheets>
  <externalReferences>
    <externalReference r:id="rId2"/>
    <externalReference r:id="rId3"/>
    <externalReference r:id="rId4"/>
  </externalReferences>
  <definedNames>
    <definedName name="Appearance">#REF!</definedName>
    <definedName name="Assembly">#REF!</definedName>
    <definedName name="DCC" localSheetId="0">#REF!</definedName>
    <definedName name="DCC">#REF!</definedName>
    <definedName name="Defect_Class" localSheetId="0">#REF!</definedName>
    <definedName name="Defect_Class">#REF!</definedName>
    <definedName name="Defect_Class_China" localSheetId="0">#REF!</definedName>
    <definedName name="Defect_Class_China">#REF!</definedName>
    <definedName name="Defect_Code_List" localSheetId="0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____Huifang_Ma，Dike">#REF!</definedName>
    <definedName name="HV372_Product_Pic_Inf">'[2]Inspection Report'!#REF!</definedName>
    <definedName name="LineNo.">#REF!</definedName>
    <definedName name="Mean__vừa">#REF!</definedName>
    <definedName name="Performance">#REF!</definedName>
    <definedName name="Production_Line">#REF!</definedName>
    <definedName name="q">'[3]defect code'!$C:$C</definedName>
    <definedName name="Safety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Demi Li</author>
  </authors>
  <commentList>
    <comment ref="K7" authorId="0">
      <text>
        <r>
          <rPr>
            <b/>
            <sz val="9"/>
            <rFont val="Tahoma"/>
            <charset val="134"/>
          </rPr>
          <t>机器开机状态下，裸机和带附件时，在每个档位是否有啸叫声等奇怪的声音</t>
        </r>
      </text>
    </comment>
  </commentList>
</comments>
</file>

<file path=xl/sharedStrings.xml><?xml version="1.0" encoding="utf-8"?>
<sst xmlns="http://schemas.openxmlformats.org/spreadsheetml/2006/main" count="141" uniqueCount="62">
  <si>
    <t>Pre-Shipment Inspection Data Record For Hair Dryer</t>
  </si>
  <si>
    <t xml:space="preserve"> Model No.: </t>
  </si>
  <si>
    <t>Report No.:</t>
  </si>
  <si>
    <t>Inspected By:</t>
  </si>
  <si>
    <t>Ngọc Hà</t>
  </si>
  <si>
    <r>
      <rPr>
        <b/>
        <sz val="11"/>
        <color rgb="FF000000"/>
        <rFont val="Times New Roman"/>
        <charset val="134"/>
      </rPr>
      <t>Date</t>
    </r>
    <r>
      <rPr>
        <b/>
        <sz val="11"/>
        <color rgb="FF000000"/>
        <rFont val="宋体"/>
        <charset val="134"/>
      </rPr>
      <t xml:space="preserve">: </t>
    </r>
  </si>
  <si>
    <t>Item</t>
  </si>
  <si>
    <t>Power Input 输入功率</t>
  </si>
  <si>
    <t>Hi-pot Test (P/F）高压测试</t>
  </si>
  <si>
    <t>ALCI (P/F)漏保测试</t>
  </si>
  <si>
    <t>Air Pressure 风压测试</t>
  </si>
  <si>
    <t>Air Flow 风量
（实验室数据）</t>
  </si>
  <si>
    <t>Noise (dBA) 整机噪音
（实验室数据）</t>
  </si>
  <si>
    <t>Abnormal sound
(P/F) 开机状态异音</t>
  </si>
  <si>
    <t>Drop test   (P/F) 跌落测试</t>
  </si>
  <si>
    <t>Thermal Protection (P/F)  热保护</t>
  </si>
  <si>
    <t>Power cord length 电源线长度</t>
  </si>
  <si>
    <t xml:space="preserve"> Strain relief test  (P/F)电源线吊重</t>
  </si>
  <si>
    <t>Total weight</t>
  </si>
  <si>
    <t>Outlet Air temperature</t>
  </si>
  <si>
    <t>Remark:</t>
  </si>
  <si>
    <t>US/INTL</t>
  </si>
  <si>
    <t>US</t>
  </si>
  <si>
    <t>INTL</t>
  </si>
  <si>
    <t>Test/ Retest</t>
  </si>
  <si>
    <t>Unit drop test</t>
  </si>
  <si>
    <t>Accessory without   package 附件无包装</t>
  </si>
  <si>
    <t>Accessory &amp; Unit Drop Test
整机配附件跌落测试</t>
  </si>
  <si>
    <t>HIGH Temp High Speed 风温（高风高温档位）
（实验室数据）</t>
  </si>
  <si>
    <t xml:space="preserve">    Spec</t>
  </si>
  <si>
    <t>Power input test
US:1500W ±10%
INTL:15000W +5% -10%</t>
  </si>
  <si>
    <t>1500V/5mA/1S</t>
  </si>
  <si>
    <t>3000V/5mA/1S</t>
  </si>
  <si>
    <t>US:2 Cycles
INTL:N/A</t>
  </si>
  <si>
    <t>＞40g</t>
  </si>
  <si>
    <t>≥32 CFM
Folded mode, high flow</t>
  </si>
  <si>
    <t>≥28 CFM
Straight mode,high flow</t>
  </si>
  <si>
    <t>Sound power ≤87 dBA
Folded mode, high flow</t>
  </si>
  <si>
    <t>Sound power ≤87 dBA
Straight mode,high flow</t>
  </si>
  <si>
    <t>Power on</t>
  </si>
  <si>
    <t>将整机从(91cm)处跌落，每边5次(共30次);无影响正常使用或性能的功能损坏。</t>
  </si>
  <si>
    <t>从3英尺(91cm)处跌落配件。5次/面(6个面)</t>
  </si>
  <si>
    <t>装上附件从6英尺(182cm)的陶瓷地板上向下跌落1次;无安全问题</t>
  </si>
  <si>
    <t xml:space="preserve">1. ＜150W @within 15s
2. no obvious turn red
</t>
  </si>
  <si>
    <t>ALCI to EMC Box
300±20mm</t>
  </si>
  <si>
    <t>EMC Box to Swivel
2130±20mm</t>
  </si>
  <si>
    <t>36lbs/1min</t>
  </si>
  <si>
    <t>≤0.9 lbs (without cord)
&lt;1.6 lbs (with cord)</t>
  </si>
  <si>
    <t>HH: 100°+/- 5° C（1” from outlet in high flow in folded mode）</t>
  </si>
  <si>
    <t>H08ZX512Z0Q1</t>
  </si>
  <si>
    <t>/</t>
  </si>
  <si>
    <t>OK</t>
  </si>
  <si>
    <t>H08ZX512Z0K2</t>
  </si>
  <si>
    <t>H08ZX512Z0J4</t>
  </si>
  <si>
    <t>H08ZX512Z2F6</t>
  </si>
  <si>
    <t>H08ZX512Z2H8</t>
  </si>
  <si>
    <t>判定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</si>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</sst>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0.0_);[Red]\(0.0\)"/>
    <numFmt numFmtId="181" formatCode="0.0_ "/>
  </numFmts>
  <fonts count="45">
    <font>
      <sz val="11"/>
      <color theme="1"/>
      <name val="Aptos Narrow"/>
      <charset val="134"/>
      <scheme val="minor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9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name val="Arial"/>
      <charset val="134"/>
    </font>
    <font>
      <sz val="11"/>
      <name val="Arial"/>
      <charset val="134"/>
    </font>
    <font>
      <sz val="11"/>
      <name val="Times New Roman"/>
      <charset val="134"/>
    </font>
    <font>
      <sz val="9"/>
      <color indexed="8"/>
      <name val="Arial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Times New Roman"/>
      <charset val="134"/>
    </font>
    <font>
      <sz val="9"/>
      <name val="新細明體"/>
      <charset val="134"/>
    </font>
    <font>
      <sz val="12"/>
      <name val="新細明體"/>
      <charset val="134"/>
    </font>
    <font>
      <b/>
      <sz val="11"/>
      <color rgb="FF000000"/>
      <name val="Times New Roman"/>
      <charset val="134"/>
    </font>
    <font>
      <sz val="9"/>
      <color rgb="FFFF0000"/>
      <name val="Aptos Narrow"/>
      <charset val="134"/>
      <scheme val="minor"/>
    </font>
    <font>
      <sz val="10"/>
      <name val="Times New Roman"/>
      <charset val="134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26" applyNumberFormat="0" applyAlignment="0" applyProtection="0">
      <alignment vertical="center"/>
    </xf>
    <xf numFmtId="0" fontId="33" fillId="5" borderId="27" applyNumberFormat="0" applyAlignment="0" applyProtection="0">
      <alignment vertical="center"/>
    </xf>
    <xf numFmtId="0" fontId="34" fillId="5" borderId="26" applyNumberFormat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</cellStyleXfs>
  <cellXfs count="81">
    <xf numFmtId="0" fontId="0" fillId="0" borderId="0" xfId="0"/>
    <xf numFmtId="0" fontId="0" fillId="0" borderId="0" xfId="49">
      <alignment vertical="center"/>
    </xf>
    <xf numFmtId="0" fontId="1" fillId="0" borderId="0" xfId="50" applyFont="1" applyAlignment="1">
      <alignment horizontal="center"/>
    </xf>
    <xf numFmtId="0" fontId="2" fillId="0" borderId="0" xfId="50" applyFont="1" applyAlignment="1">
      <alignment horizontal="center" vertical="center"/>
    </xf>
    <xf numFmtId="0" fontId="3" fillId="0" borderId="0" xfId="50" applyFont="1" applyAlignment="1">
      <alignment horizontal="center"/>
    </xf>
    <xf numFmtId="0" fontId="4" fillId="0" borderId="0" xfId="50" applyFont="1" applyAlignment="1">
      <alignment horizontal="left" vertical="center"/>
    </xf>
    <xf numFmtId="0" fontId="5" fillId="0" borderId="1" xfId="50" applyFont="1" applyBorder="1" applyAlignment="1" applyProtection="1">
      <alignment vertical="center"/>
      <protection locked="0"/>
    </xf>
    <xf numFmtId="0" fontId="5" fillId="0" borderId="0" xfId="50" applyFont="1" applyAlignment="1" applyProtection="1">
      <alignment vertical="center"/>
      <protection locked="0"/>
    </xf>
    <xf numFmtId="0" fontId="4" fillId="0" borderId="0" xfId="50" applyFont="1" applyAlignment="1">
      <alignment horizontal="center" vertical="center"/>
    </xf>
    <xf numFmtId="0" fontId="5" fillId="0" borderId="0" xfId="50" applyFont="1"/>
    <xf numFmtId="0" fontId="6" fillId="0" borderId="2" xfId="50" applyFont="1" applyBorder="1" applyAlignment="1">
      <alignment horizontal="center" vertical="center" wrapText="1"/>
    </xf>
    <xf numFmtId="0" fontId="6" fillId="0" borderId="3" xfId="50" applyFont="1" applyBorder="1" applyAlignment="1" applyProtection="1">
      <alignment vertical="center" wrapText="1"/>
      <protection locked="0"/>
    </xf>
    <xf numFmtId="0" fontId="6" fillId="0" borderId="3" xfId="50" applyFont="1" applyBorder="1" applyAlignment="1" applyProtection="1">
      <alignment horizontal="center" vertical="center" wrapText="1"/>
      <protection locked="0"/>
    </xf>
    <xf numFmtId="0" fontId="6" fillId="0" borderId="4" xfId="50" applyFont="1" applyBorder="1" applyAlignment="1" applyProtection="1">
      <alignment horizontal="center" vertical="center" wrapText="1"/>
      <protection locked="0"/>
    </xf>
    <xf numFmtId="0" fontId="6" fillId="0" borderId="5" xfId="50" applyFont="1" applyBorder="1" applyAlignment="1" applyProtection="1">
      <alignment horizontal="center" vertical="center" wrapText="1"/>
      <protection locked="0"/>
    </xf>
    <xf numFmtId="0" fontId="6" fillId="0" borderId="6" xfId="50" applyFont="1" applyBorder="1" applyAlignment="1">
      <alignment horizontal="center" vertical="center" wrapText="1"/>
    </xf>
    <xf numFmtId="0" fontId="6" fillId="0" borderId="7" xfId="50" applyFont="1" applyBorder="1" applyAlignment="1" applyProtection="1">
      <alignment horizontal="center" vertical="center" wrapText="1"/>
      <protection locked="0"/>
    </xf>
    <xf numFmtId="0" fontId="6" fillId="0" borderId="8" xfId="50" applyFont="1" applyBorder="1" applyAlignment="1" applyProtection="1">
      <alignment horizontal="center" vertical="center" wrapText="1"/>
      <protection locked="0"/>
    </xf>
    <xf numFmtId="0" fontId="6" fillId="0" borderId="9" xfId="50" applyFont="1" applyBorder="1" applyAlignment="1" applyProtection="1">
      <alignment horizontal="center" vertical="center" wrapText="1"/>
      <protection locked="0"/>
    </xf>
    <xf numFmtId="0" fontId="6" fillId="0" borderId="10" xfId="50" applyFont="1" applyBorder="1" applyAlignment="1">
      <alignment horizontal="center" vertical="center" wrapText="1"/>
    </xf>
    <xf numFmtId="0" fontId="7" fillId="2" borderId="11" xfId="50" applyFont="1" applyFill="1" applyBorder="1" applyAlignment="1" applyProtection="1">
      <alignment horizontal="center" vertical="center" wrapText="1"/>
      <protection locked="0"/>
    </xf>
    <xf numFmtId="0" fontId="6" fillId="0" borderId="11" xfId="50" applyFont="1" applyBorder="1" applyAlignment="1" applyProtection="1">
      <alignment horizontal="center" vertical="center" wrapText="1"/>
      <protection locked="0"/>
    </xf>
    <xf numFmtId="0" fontId="6" fillId="2" borderId="11" xfId="50" applyFont="1" applyFill="1" applyBorder="1" applyAlignment="1" applyProtection="1">
      <alignment horizontal="center" vertical="center" wrapText="1"/>
      <protection locked="0"/>
    </xf>
    <xf numFmtId="0" fontId="5" fillId="0" borderId="12" xfId="50" applyFont="1" applyBorder="1" applyAlignment="1">
      <alignment horizontal="center"/>
    </xf>
    <xf numFmtId="0" fontId="8" fillId="0" borderId="7" xfId="49" applyFont="1" applyBorder="1" applyAlignment="1">
      <alignment horizontal="center" vertical="center"/>
    </xf>
    <xf numFmtId="0" fontId="9" fillId="0" borderId="13" xfId="50" applyFont="1" applyBorder="1" applyAlignment="1" applyProtection="1">
      <alignment horizontal="center"/>
      <protection locked="0"/>
    </xf>
    <xf numFmtId="0" fontId="8" fillId="0" borderId="13" xfId="49" applyFont="1" applyBorder="1" applyAlignment="1">
      <alignment horizontal="center" vertical="center"/>
    </xf>
    <xf numFmtId="0" fontId="10" fillId="0" borderId="13" xfId="50" applyFont="1" applyBorder="1" applyAlignment="1" applyProtection="1">
      <alignment horizontal="center"/>
      <protection locked="0"/>
    </xf>
    <xf numFmtId="0" fontId="11" fillId="0" borderId="13" xfId="49" applyFont="1" applyBorder="1" applyAlignment="1">
      <alignment horizontal="center" vertical="center"/>
    </xf>
    <xf numFmtId="0" fontId="5" fillId="0" borderId="6" xfId="50" applyFont="1" applyBorder="1" applyAlignment="1">
      <alignment horizontal="center"/>
    </xf>
    <xf numFmtId="0" fontId="12" fillId="0" borderId="7" xfId="49" applyFont="1" applyBorder="1" applyAlignment="1">
      <alignment horizontal="center" vertical="center"/>
    </xf>
    <xf numFmtId="0" fontId="12" fillId="0" borderId="13" xfId="49" applyFont="1" applyBorder="1" applyAlignment="1">
      <alignment horizontal="center" vertical="center"/>
    </xf>
    <xf numFmtId="0" fontId="13" fillId="0" borderId="7" xfId="49" applyFont="1" applyBorder="1" applyAlignment="1">
      <alignment horizontal="center" vertical="center"/>
    </xf>
    <xf numFmtId="0" fontId="14" fillId="0" borderId="7" xfId="49" applyFont="1" applyBorder="1" applyAlignment="1">
      <alignment horizontal="center" vertical="center"/>
    </xf>
    <xf numFmtId="0" fontId="15" fillId="0" borderId="14" xfId="50" applyFont="1" applyBorder="1" applyAlignment="1">
      <alignment horizontal="center"/>
    </xf>
    <xf numFmtId="0" fontId="14" fillId="0" borderId="15" xfId="49" applyFont="1" applyBorder="1" applyAlignment="1">
      <alignment horizontal="center" vertical="center"/>
    </xf>
    <xf numFmtId="0" fontId="16" fillId="0" borderId="2" xfId="50" applyFont="1" applyBorder="1" applyAlignment="1">
      <alignment horizontal="center"/>
    </xf>
    <xf numFmtId="2" fontId="17" fillId="0" borderId="3" xfId="50" applyNumberFormat="1" applyFont="1" applyBorder="1" applyAlignment="1">
      <alignment horizontal="center" vertical="center"/>
    </xf>
    <xf numFmtId="0" fontId="16" fillId="0" borderId="6" xfId="50" applyFont="1" applyBorder="1" applyAlignment="1">
      <alignment horizontal="center"/>
    </xf>
    <xf numFmtId="2" fontId="17" fillId="0" borderId="7" xfId="50" applyNumberFormat="1" applyFont="1" applyBorder="1" applyAlignment="1">
      <alignment horizontal="center" vertical="center"/>
    </xf>
    <xf numFmtId="0" fontId="5" fillId="0" borderId="10" xfId="50" applyFont="1" applyBorder="1"/>
    <xf numFmtId="0" fontId="18" fillId="0" borderId="11" xfId="50" applyBorder="1" applyProtection="1">
      <protection locked="0"/>
    </xf>
    <xf numFmtId="0" fontId="16" fillId="0" borderId="0" xfId="50" applyFont="1"/>
    <xf numFmtId="0" fontId="18" fillId="0" borderId="0" xfId="50"/>
    <xf numFmtId="0" fontId="15" fillId="0" borderId="1" xfId="50" applyFont="1" applyBorder="1" applyAlignment="1" applyProtection="1">
      <alignment horizontal="center" vertical="center"/>
      <protection locked="0"/>
    </xf>
    <xf numFmtId="0" fontId="5" fillId="0" borderId="1" xfId="50" applyFont="1" applyBorder="1" applyAlignment="1" applyProtection="1">
      <alignment horizontal="center" vertical="center"/>
      <protection locked="0"/>
    </xf>
    <xf numFmtId="0" fontId="5" fillId="0" borderId="0" xfId="50" applyFont="1" applyAlignment="1" applyProtection="1">
      <alignment horizontal="center" vertical="center"/>
      <protection locked="0"/>
    </xf>
    <xf numFmtId="0" fontId="4" fillId="0" borderId="0" xfId="50" applyFont="1" applyAlignment="1">
      <alignment horizontal="right" vertical="center"/>
    </xf>
    <xf numFmtId="0" fontId="19" fillId="0" borderId="0" xfId="49" applyFont="1">
      <alignment vertical="center"/>
    </xf>
    <xf numFmtId="0" fontId="5" fillId="0" borderId="16" xfId="50" applyFont="1" applyBorder="1"/>
    <xf numFmtId="0" fontId="6" fillId="0" borderId="17" xfId="50" applyFont="1" applyBorder="1" applyAlignment="1" applyProtection="1">
      <alignment horizontal="center" vertical="center" wrapText="1"/>
      <protection locked="0"/>
    </xf>
    <xf numFmtId="0" fontId="6" fillId="0" borderId="13" xfId="50" applyFont="1" applyBorder="1" applyAlignment="1" applyProtection="1">
      <alignment horizontal="center" vertical="center" wrapText="1"/>
      <protection locked="0"/>
    </xf>
    <xf numFmtId="0" fontId="6" fillId="0" borderId="18" xfId="50" applyFont="1" applyBorder="1" applyAlignment="1" applyProtection="1">
      <alignment horizontal="center" vertical="center" wrapText="1"/>
      <protection locked="0"/>
    </xf>
    <xf numFmtId="0" fontId="6" fillId="0" borderId="7" xfId="50" applyFont="1" applyBorder="1" applyAlignment="1" applyProtection="1">
      <alignment vertical="center" wrapText="1"/>
      <protection locked="0"/>
    </xf>
    <xf numFmtId="49" fontId="20" fillId="0" borderId="11" xfId="50" applyNumberFormat="1" applyFont="1" applyBorder="1" applyAlignment="1" applyProtection="1">
      <alignment horizontal="left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178" fontId="13" fillId="0" borderId="13" xfId="49" applyNumberFormat="1" applyFont="1" applyBorder="1" applyAlignment="1">
      <alignment horizontal="center" vertical="center"/>
    </xf>
    <xf numFmtId="0" fontId="5" fillId="0" borderId="7" xfId="50" applyFont="1" applyBorder="1" applyProtection="1">
      <protection locked="0"/>
    </xf>
    <xf numFmtId="0" fontId="21" fillId="0" borderId="7" xfId="50" applyFont="1" applyBorder="1" applyAlignment="1" applyProtection="1">
      <alignment horizontal="center"/>
      <protection locked="0"/>
    </xf>
    <xf numFmtId="179" fontId="21" fillId="0" borderId="7" xfId="50" applyNumberFormat="1" applyFont="1" applyBorder="1" applyAlignment="1">
      <alignment horizontal="center" vertical="center"/>
    </xf>
    <xf numFmtId="180" fontId="21" fillId="0" borderId="7" xfId="50" applyNumberFormat="1" applyFont="1" applyBorder="1" applyAlignment="1" applyProtection="1">
      <alignment horizontal="center" vertical="center"/>
      <protection locked="0"/>
    </xf>
    <xf numFmtId="181" fontId="21" fillId="0" borderId="7" xfId="50" applyNumberFormat="1" applyFont="1" applyBorder="1" applyAlignment="1" applyProtection="1">
      <alignment horizontal="center"/>
      <protection locked="0"/>
    </xf>
    <xf numFmtId="0" fontId="21" fillId="0" borderId="7" xfId="50" applyFont="1" applyBorder="1" applyProtection="1">
      <protection locked="0"/>
    </xf>
    <xf numFmtId="58" fontId="4" fillId="0" borderId="0" xfId="50" applyNumberFormat="1" applyFont="1" applyAlignment="1">
      <alignment horizontal="right" vertical="center"/>
    </xf>
    <xf numFmtId="15" fontId="4" fillId="0" borderId="1" xfId="50" applyNumberFormat="1" applyFont="1" applyBorder="1" applyAlignment="1" applyProtection="1">
      <alignment horizontal="left" vertical="center"/>
      <protection locked="0"/>
    </xf>
    <xf numFmtId="0" fontId="22" fillId="0" borderId="19" xfId="49" applyFont="1" applyBorder="1" applyAlignment="1">
      <alignment horizontal="center" vertical="center" wrapText="1"/>
    </xf>
    <xf numFmtId="49" fontId="6" fillId="0" borderId="20" xfId="50" applyNumberFormat="1" applyFont="1" applyBorder="1" applyAlignment="1" applyProtection="1">
      <alignment horizontal="center" vertical="center" wrapText="1"/>
      <protection locked="0"/>
    </xf>
    <xf numFmtId="49" fontId="20" fillId="0" borderId="11" xfId="50" applyNumberFormat="1" applyFont="1" applyBorder="1" applyAlignment="1" applyProtection="1">
      <alignment horizontal="center" vertical="center" wrapText="1"/>
      <protection locked="0"/>
    </xf>
    <xf numFmtId="0" fontId="22" fillId="0" borderId="11" xfId="49" applyFont="1" applyBorder="1" applyAlignment="1">
      <alignment horizontal="center" vertical="center" wrapText="1"/>
    </xf>
    <xf numFmtId="0" fontId="22" fillId="2" borderId="21" xfId="49" applyFont="1" applyFill="1" applyBorder="1" applyAlignment="1">
      <alignment horizontal="center" vertical="center" wrapText="1"/>
    </xf>
    <xf numFmtId="178" fontId="8" fillId="0" borderId="13" xfId="49" applyNumberFormat="1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 wrapText="1"/>
    </xf>
    <xf numFmtId="0" fontId="0" fillId="0" borderId="20" xfId="49" applyBorder="1">
      <alignment vertical="center"/>
    </xf>
    <xf numFmtId="0" fontId="0" fillId="0" borderId="7" xfId="49" applyBorder="1">
      <alignment vertical="center"/>
    </xf>
    <xf numFmtId="0" fontId="0" fillId="0" borderId="15" xfId="49" applyBorder="1">
      <alignment vertical="center"/>
    </xf>
    <xf numFmtId="0" fontId="0" fillId="0" borderId="22" xfId="49" applyBorder="1" applyAlignment="1">
      <alignment horizontal="center" vertical="center"/>
    </xf>
    <xf numFmtId="2" fontId="17" fillId="0" borderId="19" xfId="50" applyNumberFormat="1" applyFont="1" applyBorder="1" applyAlignment="1">
      <alignment horizontal="center" vertical="center"/>
    </xf>
    <xf numFmtId="2" fontId="17" fillId="0" borderId="20" xfId="50" applyNumberFormat="1" applyFont="1" applyBorder="1" applyAlignment="1">
      <alignment horizontal="center" vertical="center"/>
    </xf>
    <xf numFmtId="0" fontId="0" fillId="0" borderId="11" xfId="49" applyBorder="1">
      <alignment vertical="center"/>
    </xf>
    <xf numFmtId="0" fontId="0" fillId="0" borderId="21" xfId="49" applyBorder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8" xfId="49"/>
    <cellStyle name="一般_吸塵器測試數據表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403543</xdr:colOff>
      <xdr:row>0</xdr:row>
      <xdr:rowOff>273050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1697990" cy="273050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dy.zhao\OneDrive%20-%20SharkNinja\02-VN%20OOC%20production\4-DECHANG%20X5\02-6%20Quality%20Gates\Gate%206%20PSI%20record\0-CDF\Dechang%20X5%20AZ3000%20AZ3002%20VN%20EB2%20Sample%20report%20202304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AZ3002 product CDF inf"/>
      <sheetName val="AZ3002 product Picture"/>
      <sheetName val="AZ3000 product CDF inf"/>
      <sheetName val="AZ3000 product Picture"/>
      <sheetName val="Data recor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topLeftCell="K1" workbookViewId="0">
      <selection activeCell="T7" sqref="T7"/>
    </sheetView>
  </sheetViews>
  <sheetFormatPr defaultColWidth="9" defaultRowHeight="14.1"/>
  <cols>
    <col min="1" max="1" width="16.9916666666667" style="1" customWidth="1"/>
    <col min="2" max="2" width="30.2666666666667" style="1" customWidth="1"/>
    <col min="3" max="4" width="14.2666666666667" style="1" customWidth="1"/>
    <col min="5" max="5" width="17.55" style="1" customWidth="1"/>
    <col min="6" max="8" width="14.2666666666667" style="1" customWidth="1"/>
    <col min="9" max="9" width="17.8166666666667" style="1" customWidth="1"/>
    <col min="10" max="10" width="18.175" style="1" customWidth="1"/>
    <col min="11" max="11" width="14.2666666666667" style="1" customWidth="1"/>
    <col min="12" max="13" width="22.725" style="1" customWidth="1"/>
    <col min="14" max="14" width="21" style="1" customWidth="1"/>
    <col min="15" max="15" width="17.45" style="1" customWidth="1"/>
    <col min="16" max="19" width="14.2666666666667" style="1" customWidth="1"/>
    <col min="20" max="20" width="22.45" style="1" customWidth="1"/>
    <col min="21" max="16384" width="9" style="1"/>
  </cols>
  <sheetData>
    <row r="1" ht="29.55" spans="1:18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9.55" spans="1:18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4" spans="1:20">
      <c r="A3" s="5" t="s">
        <v>1</v>
      </c>
      <c r="B3" s="6"/>
      <c r="C3" s="6"/>
      <c r="D3" s="7"/>
      <c r="E3" s="7"/>
      <c r="F3" s="8" t="s">
        <v>2</v>
      </c>
      <c r="G3" s="8">
        <v>20159408</v>
      </c>
      <c r="H3" s="8"/>
      <c r="I3" s="8"/>
      <c r="J3" s="44"/>
      <c r="K3" s="44"/>
      <c r="L3" s="45"/>
      <c r="M3" s="46"/>
      <c r="O3" s="47" t="s">
        <v>3</v>
      </c>
      <c r="P3" s="48" t="s">
        <v>4</v>
      </c>
      <c r="Q3" s="48"/>
      <c r="R3" s="48" t="s">
        <v>5</v>
      </c>
      <c r="S3" s="63">
        <v>45720</v>
      </c>
      <c r="T3" s="64"/>
    </row>
    <row r="4" ht="16.15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49"/>
      <c r="Q4" s="9"/>
      <c r="R4" s="9"/>
    </row>
    <row r="5" ht="25.5" customHeight="1" spans="1:20">
      <c r="A5" s="10" t="s">
        <v>6</v>
      </c>
      <c r="B5" s="11" t="s">
        <v>7</v>
      </c>
      <c r="C5" s="12" t="s">
        <v>8</v>
      </c>
      <c r="D5" s="12"/>
      <c r="E5" s="12" t="s">
        <v>9</v>
      </c>
      <c r="F5" s="12" t="s">
        <v>10</v>
      </c>
      <c r="G5" s="13" t="s">
        <v>11</v>
      </c>
      <c r="H5" s="14"/>
      <c r="I5" s="13" t="s">
        <v>12</v>
      </c>
      <c r="J5" s="14"/>
      <c r="K5" s="50" t="s">
        <v>13</v>
      </c>
      <c r="L5" s="12" t="s">
        <v>14</v>
      </c>
      <c r="M5" s="12"/>
      <c r="N5" s="12"/>
      <c r="O5" s="12" t="s">
        <v>15</v>
      </c>
      <c r="P5" s="13" t="s">
        <v>16</v>
      </c>
      <c r="Q5" s="14"/>
      <c r="R5" s="13" t="s">
        <v>17</v>
      </c>
      <c r="S5" s="50" t="s">
        <v>18</v>
      </c>
      <c r="T5" s="65" t="s">
        <v>19</v>
      </c>
    </row>
    <row r="6" ht="33" customHeight="1" spans="1:20">
      <c r="A6" s="15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6"/>
      <c r="G6" s="17"/>
      <c r="H6" s="18"/>
      <c r="I6" s="17"/>
      <c r="J6" s="18"/>
      <c r="K6" s="51"/>
      <c r="L6" s="16" t="s">
        <v>25</v>
      </c>
      <c r="M6" s="16" t="s">
        <v>26</v>
      </c>
      <c r="N6" s="16" t="s">
        <v>27</v>
      </c>
      <c r="O6" s="16"/>
      <c r="P6" s="17"/>
      <c r="Q6" s="18"/>
      <c r="R6" s="17"/>
      <c r="S6" s="51"/>
      <c r="T6" s="66" t="s">
        <v>28</v>
      </c>
    </row>
    <row r="7" ht="35.45" spans="1:20">
      <c r="A7" s="19" t="s">
        <v>29</v>
      </c>
      <c r="B7" s="20" t="s">
        <v>30</v>
      </c>
      <c r="C7" s="21" t="s">
        <v>31</v>
      </c>
      <c r="D7" s="21" t="s">
        <v>32</v>
      </c>
      <c r="E7" s="21" t="s">
        <v>33</v>
      </c>
      <c r="F7" s="21" t="s">
        <v>34</v>
      </c>
      <c r="G7" s="22" t="s">
        <v>35</v>
      </c>
      <c r="H7" s="21" t="s">
        <v>36</v>
      </c>
      <c r="I7" s="52" t="s">
        <v>37</v>
      </c>
      <c r="J7" s="52" t="s">
        <v>38</v>
      </c>
      <c r="K7" s="21" t="s">
        <v>39</v>
      </c>
      <c r="L7" s="53" t="s">
        <v>40</v>
      </c>
      <c r="M7" s="53" t="s">
        <v>41</v>
      </c>
      <c r="N7" s="16" t="s">
        <v>42</v>
      </c>
      <c r="O7" s="54" t="s">
        <v>43</v>
      </c>
      <c r="P7" s="55" t="s">
        <v>44</v>
      </c>
      <c r="Q7" s="55" t="s">
        <v>45</v>
      </c>
      <c r="R7" s="67" t="s">
        <v>46</v>
      </c>
      <c r="S7" s="68" t="s">
        <v>47</v>
      </c>
      <c r="T7" s="69" t="s">
        <v>48</v>
      </c>
    </row>
    <row r="8" ht="15.4" spans="1:20">
      <c r="A8" s="23" t="s">
        <v>49</v>
      </c>
      <c r="B8" s="24">
        <v>1614</v>
      </c>
      <c r="C8" s="25" t="s">
        <v>50</v>
      </c>
      <c r="D8" s="25" t="s">
        <v>50</v>
      </c>
      <c r="E8" s="25" t="s">
        <v>50</v>
      </c>
      <c r="F8" s="25" t="s">
        <v>50</v>
      </c>
      <c r="G8" s="26">
        <v>39.1</v>
      </c>
      <c r="H8" s="27" t="s">
        <v>50</v>
      </c>
      <c r="I8" s="27" t="s">
        <v>50</v>
      </c>
      <c r="J8" s="27" t="s">
        <v>50</v>
      </c>
      <c r="K8" s="27" t="s">
        <v>51</v>
      </c>
      <c r="L8" s="27" t="s">
        <v>50</v>
      </c>
      <c r="M8" s="27" t="s">
        <v>50</v>
      </c>
      <c r="N8" s="27" t="s">
        <v>50</v>
      </c>
      <c r="O8" s="27" t="s">
        <v>50</v>
      </c>
      <c r="P8" s="27" t="s">
        <v>50</v>
      </c>
      <c r="Q8" s="27" t="s">
        <v>50</v>
      </c>
      <c r="R8" s="27" t="s">
        <v>50</v>
      </c>
      <c r="S8" s="27" t="s">
        <v>50</v>
      </c>
      <c r="T8" s="70">
        <v>93.21</v>
      </c>
    </row>
    <row r="9" ht="15.4" spans="1:20">
      <c r="A9" s="23" t="s">
        <v>52</v>
      </c>
      <c r="B9" s="24">
        <v>1587</v>
      </c>
      <c r="C9" s="25" t="s">
        <v>50</v>
      </c>
      <c r="D9" s="25" t="s">
        <v>50</v>
      </c>
      <c r="E9" s="25" t="s">
        <v>50</v>
      </c>
      <c r="F9" s="25" t="s">
        <v>50</v>
      </c>
      <c r="G9" s="28">
        <v>39.8</v>
      </c>
      <c r="H9" s="27" t="s">
        <v>50</v>
      </c>
      <c r="I9" s="27" t="s">
        <v>50</v>
      </c>
      <c r="J9" s="27" t="s">
        <v>50</v>
      </c>
      <c r="K9" s="27" t="s">
        <v>51</v>
      </c>
      <c r="L9" s="27" t="s">
        <v>50</v>
      </c>
      <c r="M9" s="27" t="s">
        <v>50</v>
      </c>
      <c r="N9" s="27" t="s">
        <v>50</v>
      </c>
      <c r="O9" s="27" t="s">
        <v>50</v>
      </c>
      <c r="P9" s="27" t="s">
        <v>50</v>
      </c>
      <c r="Q9" s="27" t="s">
        <v>50</v>
      </c>
      <c r="R9" s="27" t="s">
        <v>50</v>
      </c>
      <c r="S9" s="27" t="s">
        <v>50</v>
      </c>
      <c r="T9" s="70">
        <v>94.25</v>
      </c>
    </row>
    <row r="10" ht="15.4" spans="1:20">
      <c r="A10" s="23" t="s">
        <v>53</v>
      </c>
      <c r="B10" s="24">
        <v>1599</v>
      </c>
      <c r="C10" s="25" t="s">
        <v>50</v>
      </c>
      <c r="D10" s="25" t="s">
        <v>50</v>
      </c>
      <c r="E10" s="25" t="s">
        <v>50</v>
      </c>
      <c r="F10" s="25" t="s">
        <v>50</v>
      </c>
      <c r="G10" s="28">
        <v>39.6</v>
      </c>
      <c r="H10" s="27" t="s">
        <v>50</v>
      </c>
      <c r="I10" s="27" t="s">
        <v>50</v>
      </c>
      <c r="J10" s="27" t="s">
        <v>50</v>
      </c>
      <c r="K10" s="27" t="s">
        <v>51</v>
      </c>
      <c r="L10" s="27" t="s">
        <v>50</v>
      </c>
      <c r="M10" s="27" t="s">
        <v>50</v>
      </c>
      <c r="N10" s="27" t="s">
        <v>50</v>
      </c>
      <c r="O10" s="27" t="s">
        <v>50</v>
      </c>
      <c r="P10" s="27" t="s">
        <v>50</v>
      </c>
      <c r="Q10" s="27" t="s">
        <v>50</v>
      </c>
      <c r="R10" s="27" t="s">
        <v>50</v>
      </c>
      <c r="S10" s="27" t="s">
        <v>50</v>
      </c>
      <c r="T10" s="70">
        <v>94.12</v>
      </c>
    </row>
    <row r="11" ht="15.4" spans="1:20">
      <c r="A11" s="23" t="s">
        <v>54</v>
      </c>
      <c r="B11" s="24">
        <v>1601</v>
      </c>
      <c r="C11" s="25" t="s">
        <v>50</v>
      </c>
      <c r="D11" s="25" t="s">
        <v>50</v>
      </c>
      <c r="E11" s="25" t="s">
        <v>50</v>
      </c>
      <c r="F11" s="25" t="s">
        <v>50</v>
      </c>
      <c r="G11" s="28">
        <v>39.4</v>
      </c>
      <c r="H11" s="27" t="s">
        <v>50</v>
      </c>
      <c r="I11" s="27" t="s">
        <v>50</v>
      </c>
      <c r="J11" s="27" t="s">
        <v>50</v>
      </c>
      <c r="K11" s="27" t="s">
        <v>51</v>
      </c>
      <c r="L11" s="27" t="s">
        <v>50</v>
      </c>
      <c r="M11" s="27" t="s">
        <v>50</v>
      </c>
      <c r="N11" s="27" t="s">
        <v>50</v>
      </c>
      <c r="O11" s="27" t="s">
        <v>50</v>
      </c>
      <c r="P11" s="27" t="s">
        <v>50</v>
      </c>
      <c r="Q11" s="27" t="s">
        <v>50</v>
      </c>
      <c r="R11" s="27" t="s">
        <v>50</v>
      </c>
      <c r="S11" s="27" t="s">
        <v>50</v>
      </c>
      <c r="T11" s="71">
        <v>93.41</v>
      </c>
    </row>
    <row r="12" ht="15.4" spans="1:20">
      <c r="A12" s="23" t="s">
        <v>55</v>
      </c>
      <c r="B12" s="24">
        <v>1591</v>
      </c>
      <c r="C12" s="25" t="s">
        <v>50</v>
      </c>
      <c r="D12" s="25" t="s">
        <v>50</v>
      </c>
      <c r="E12" s="25" t="s">
        <v>50</v>
      </c>
      <c r="F12" s="25" t="s">
        <v>50</v>
      </c>
      <c r="G12" s="28">
        <v>40.1</v>
      </c>
      <c r="H12" s="27" t="s">
        <v>50</v>
      </c>
      <c r="I12" s="27" t="s">
        <v>50</v>
      </c>
      <c r="J12" s="27" t="s">
        <v>50</v>
      </c>
      <c r="K12" s="27" t="s">
        <v>51</v>
      </c>
      <c r="L12" s="27" t="s">
        <v>50</v>
      </c>
      <c r="M12" s="27" t="s">
        <v>50</v>
      </c>
      <c r="N12" s="27" t="s">
        <v>50</v>
      </c>
      <c r="O12" s="27" t="s">
        <v>50</v>
      </c>
      <c r="P12" s="27" t="s">
        <v>50</v>
      </c>
      <c r="Q12" s="27" t="s">
        <v>50</v>
      </c>
      <c r="R12" s="27" t="s">
        <v>50</v>
      </c>
      <c r="S12" s="27" t="s">
        <v>50</v>
      </c>
      <c r="T12" s="72">
        <v>95.12</v>
      </c>
    </row>
    <row r="13" ht="15.4" spans="1:20">
      <c r="A13" s="29">
        <v>6</v>
      </c>
      <c r="B13" s="30"/>
      <c r="C13" s="27"/>
      <c r="D13" s="27"/>
      <c r="E13" s="27"/>
      <c r="F13" s="30"/>
      <c r="G13" s="31"/>
      <c r="H13" s="31"/>
      <c r="I13" s="31"/>
      <c r="J13" s="56"/>
      <c r="K13" s="27"/>
      <c r="L13" s="57"/>
      <c r="M13" s="57"/>
      <c r="N13" s="57"/>
      <c r="O13" s="27"/>
      <c r="P13" s="58"/>
      <c r="Q13" s="58"/>
      <c r="R13" s="58"/>
      <c r="S13" s="56"/>
      <c r="T13" s="73"/>
    </row>
    <row r="14" ht="15.4" spans="1:20">
      <c r="A14" s="29">
        <v>7</v>
      </c>
      <c r="B14" s="32"/>
      <c r="C14" s="27"/>
      <c r="D14" s="27"/>
      <c r="E14" s="27"/>
      <c r="F14" s="30"/>
      <c r="G14" s="30"/>
      <c r="H14" s="30"/>
      <c r="I14" s="30"/>
      <c r="J14" s="59"/>
      <c r="K14" s="27"/>
      <c r="L14" s="57"/>
      <c r="M14" s="57"/>
      <c r="N14" s="57"/>
      <c r="O14" s="27"/>
      <c r="P14" s="58"/>
      <c r="Q14" s="58"/>
      <c r="R14" s="58"/>
      <c r="S14" s="56"/>
      <c r="T14" s="73"/>
    </row>
    <row r="15" ht="15.4" spans="1:20">
      <c r="A15" s="29">
        <v>8</v>
      </c>
      <c r="B15" s="32"/>
      <c r="C15" s="27"/>
      <c r="D15" s="27"/>
      <c r="E15" s="27"/>
      <c r="F15" s="30"/>
      <c r="G15" s="30"/>
      <c r="H15" s="30"/>
      <c r="I15" s="30"/>
      <c r="J15" s="59"/>
      <c r="K15" s="27"/>
      <c r="L15" s="57"/>
      <c r="M15" s="57"/>
      <c r="N15" s="57"/>
      <c r="O15" s="27"/>
      <c r="P15" s="58"/>
      <c r="Q15" s="58"/>
      <c r="R15" s="58"/>
      <c r="S15" s="56"/>
      <c r="T15" s="73"/>
    </row>
    <row r="16" ht="15.4" spans="1:20">
      <c r="A16" s="29">
        <v>9</v>
      </c>
      <c r="B16" s="30"/>
      <c r="C16" s="27"/>
      <c r="D16" s="27"/>
      <c r="E16" s="27"/>
      <c r="F16" s="30"/>
      <c r="G16" s="30"/>
      <c r="H16" s="30"/>
      <c r="I16" s="30"/>
      <c r="J16" s="60"/>
      <c r="K16" s="27"/>
      <c r="L16" s="57"/>
      <c r="M16" s="57"/>
      <c r="N16" s="57"/>
      <c r="O16" s="27"/>
      <c r="P16" s="58"/>
      <c r="Q16" s="58"/>
      <c r="R16" s="58"/>
      <c r="S16" s="56"/>
      <c r="T16" s="73"/>
    </row>
    <row r="17" ht="15.4" spans="1:20">
      <c r="A17" s="29">
        <v>10</v>
      </c>
      <c r="B17" s="30"/>
      <c r="C17" s="27"/>
      <c r="D17" s="27"/>
      <c r="E17" s="27"/>
      <c r="F17" s="30"/>
      <c r="G17" s="30"/>
      <c r="H17" s="30"/>
      <c r="I17" s="30"/>
      <c r="J17" s="60"/>
      <c r="K17" s="27"/>
      <c r="L17" s="57"/>
      <c r="M17" s="57"/>
      <c r="N17" s="57"/>
      <c r="O17" s="27"/>
      <c r="P17" s="58"/>
      <c r="Q17" s="58"/>
      <c r="R17" s="58"/>
      <c r="S17" s="56"/>
      <c r="T17" s="73"/>
    </row>
    <row r="18" ht="15.4" spans="1:20">
      <c r="A18" s="29">
        <v>11</v>
      </c>
      <c r="B18" s="30"/>
      <c r="C18" s="27"/>
      <c r="D18" s="27"/>
      <c r="E18" s="27"/>
      <c r="F18" s="30"/>
      <c r="G18" s="30"/>
      <c r="H18" s="30"/>
      <c r="I18" s="30"/>
      <c r="J18" s="58"/>
      <c r="K18" s="27"/>
      <c r="L18" s="57"/>
      <c r="M18" s="57"/>
      <c r="N18" s="57"/>
      <c r="O18" s="27"/>
      <c r="P18" s="58"/>
      <c r="Q18" s="58"/>
      <c r="R18" s="58"/>
      <c r="S18" s="74"/>
      <c r="T18" s="73"/>
    </row>
    <row r="19" ht="15.4" spans="1:20">
      <c r="A19" s="29">
        <v>12</v>
      </c>
      <c r="B19" s="33"/>
      <c r="C19" s="27"/>
      <c r="D19" s="27"/>
      <c r="E19" s="27"/>
      <c r="F19" s="30"/>
      <c r="G19" s="30"/>
      <c r="H19" s="30"/>
      <c r="I19" s="30"/>
      <c r="J19" s="61"/>
      <c r="K19" s="27"/>
      <c r="L19" s="57"/>
      <c r="M19" s="57"/>
      <c r="N19" s="57"/>
      <c r="O19" s="27"/>
      <c r="P19" s="58"/>
      <c r="Q19" s="58"/>
      <c r="R19" s="58"/>
      <c r="S19" s="74"/>
      <c r="T19" s="73"/>
    </row>
    <row r="20" ht="15.4" spans="1:20">
      <c r="A20" s="29">
        <v>13</v>
      </c>
      <c r="B20" s="33"/>
      <c r="C20" s="27"/>
      <c r="D20" s="27"/>
      <c r="E20" s="27"/>
      <c r="F20" s="30"/>
      <c r="G20" s="30"/>
      <c r="H20" s="30"/>
      <c r="I20" s="30"/>
      <c r="J20" s="61"/>
      <c r="K20" s="27"/>
      <c r="L20" s="57"/>
      <c r="M20" s="57"/>
      <c r="N20" s="57"/>
      <c r="O20" s="27"/>
      <c r="P20" s="58"/>
      <c r="Q20" s="58"/>
      <c r="R20" s="58"/>
      <c r="S20" s="74"/>
      <c r="T20" s="73"/>
    </row>
    <row r="21" ht="15.4" spans="1:20">
      <c r="A21" s="29">
        <v>14</v>
      </c>
      <c r="B21" s="32"/>
      <c r="C21" s="27"/>
      <c r="D21" s="27"/>
      <c r="E21" s="27"/>
      <c r="F21" s="32"/>
      <c r="G21" s="32"/>
      <c r="H21" s="32"/>
      <c r="I21" s="32"/>
      <c r="J21" s="61"/>
      <c r="K21" s="27"/>
      <c r="L21" s="57"/>
      <c r="M21" s="57"/>
      <c r="N21" s="57"/>
      <c r="O21" s="27"/>
      <c r="P21" s="58"/>
      <c r="Q21" s="58"/>
      <c r="R21" s="58"/>
      <c r="S21" s="74"/>
      <c r="T21" s="73"/>
    </row>
    <row r="22" ht="15.4" spans="1:20">
      <c r="A22" s="29">
        <v>15</v>
      </c>
      <c r="B22" s="32"/>
      <c r="C22" s="27"/>
      <c r="D22" s="27"/>
      <c r="E22" s="27"/>
      <c r="F22" s="32"/>
      <c r="G22" s="32"/>
      <c r="H22" s="32"/>
      <c r="I22" s="32"/>
      <c r="J22" s="61"/>
      <c r="K22" s="27"/>
      <c r="L22" s="57"/>
      <c r="M22" s="57"/>
      <c r="N22" s="57"/>
      <c r="O22" s="27"/>
      <c r="P22" s="58"/>
      <c r="Q22" s="58"/>
      <c r="R22" s="58"/>
      <c r="S22" s="74"/>
      <c r="T22" s="73"/>
    </row>
    <row r="23" ht="15.4" spans="1:20">
      <c r="A23" s="29">
        <v>16</v>
      </c>
      <c r="B23" s="32"/>
      <c r="C23" s="27"/>
      <c r="D23" s="27"/>
      <c r="E23" s="27"/>
      <c r="F23" s="32"/>
      <c r="G23" s="32"/>
      <c r="H23" s="32"/>
      <c r="I23" s="32"/>
      <c r="J23" s="58"/>
      <c r="K23" s="27"/>
      <c r="L23" s="57"/>
      <c r="M23" s="57"/>
      <c r="N23" s="57"/>
      <c r="O23" s="27"/>
      <c r="P23" s="58"/>
      <c r="Q23" s="58"/>
      <c r="R23" s="58"/>
      <c r="S23" s="74"/>
      <c r="T23" s="73"/>
    </row>
    <row r="24" ht="15.4" spans="1:20">
      <c r="A24" s="29">
        <v>17</v>
      </c>
      <c r="B24" s="32"/>
      <c r="C24" s="27"/>
      <c r="D24" s="27"/>
      <c r="E24" s="27"/>
      <c r="F24" s="32"/>
      <c r="G24" s="32"/>
      <c r="H24" s="32"/>
      <c r="I24" s="32"/>
      <c r="J24" s="62"/>
      <c r="K24" s="27"/>
      <c r="L24" s="57"/>
      <c r="M24" s="57"/>
      <c r="N24" s="57"/>
      <c r="O24" s="27"/>
      <c r="P24" s="58"/>
      <c r="Q24" s="58"/>
      <c r="R24" s="58"/>
      <c r="S24" s="74"/>
      <c r="T24" s="73"/>
    </row>
    <row r="25" ht="15.4" spans="1:20">
      <c r="A25" s="29">
        <v>18</v>
      </c>
      <c r="B25" s="32"/>
      <c r="C25" s="27"/>
      <c r="D25" s="27"/>
      <c r="E25" s="27"/>
      <c r="F25" s="33"/>
      <c r="G25" s="33"/>
      <c r="H25" s="33"/>
      <c r="I25" s="33"/>
      <c r="J25" s="62"/>
      <c r="K25" s="27"/>
      <c r="L25" s="57"/>
      <c r="M25" s="57"/>
      <c r="N25" s="57"/>
      <c r="O25" s="27"/>
      <c r="P25" s="58"/>
      <c r="Q25" s="58"/>
      <c r="R25" s="58"/>
      <c r="S25" s="74"/>
      <c r="T25" s="73"/>
    </row>
    <row r="26" ht="15.4" spans="1:20">
      <c r="A26" s="29">
        <v>19</v>
      </c>
      <c r="B26" s="32"/>
      <c r="C26" s="27"/>
      <c r="D26" s="27"/>
      <c r="E26" s="27"/>
      <c r="F26" s="33"/>
      <c r="G26" s="33"/>
      <c r="H26" s="33"/>
      <c r="I26" s="33"/>
      <c r="J26" s="62"/>
      <c r="K26" s="27"/>
      <c r="L26" s="57"/>
      <c r="M26" s="57"/>
      <c r="N26" s="57"/>
      <c r="O26" s="27"/>
      <c r="P26" s="58"/>
      <c r="Q26" s="58"/>
      <c r="R26" s="58"/>
      <c r="S26" s="74"/>
      <c r="T26" s="73"/>
    </row>
    <row r="27" ht="15.4" spans="1:20">
      <c r="A27" s="29">
        <v>20</v>
      </c>
      <c r="B27" s="32"/>
      <c r="C27" s="27"/>
      <c r="D27" s="27"/>
      <c r="E27" s="27"/>
      <c r="F27" s="33"/>
      <c r="G27" s="33"/>
      <c r="H27" s="33"/>
      <c r="I27" s="33"/>
      <c r="J27" s="62"/>
      <c r="K27" s="27"/>
      <c r="L27" s="57"/>
      <c r="M27" s="57"/>
      <c r="N27" s="57"/>
      <c r="O27" s="27"/>
      <c r="P27" s="58"/>
      <c r="Q27" s="58"/>
      <c r="R27" s="58"/>
      <c r="S27" s="74"/>
      <c r="T27" s="73"/>
    </row>
    <row r="28" ht="15.75" spans="1:20">
      <c r="A28" s="34" t="s">
        <v>56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75"/>
      <c r="T28" s="76"/>
    </row>
    <row r="29" spans="1:20">
      <c r="A29" s="36" t="s">
        <v>57</v>
      </c>
      <c r="B29" s="37">
        <f t="shared" ref="B29:T29" si="0">MIN(B8:B27)</f>
        <v>1587</v>
      </c>
      <c r="C29" s="37">
        <f t="shared" si="0"/>
        <v>0</v>
      </c>
      <c r="D29" s="37">
        <f t="shared" si="0"/>
        <v>0</v>
      </c>
      <c r="E29" s="37">
        <f t="shared" si="0"/>
        <v>0</v>
      </c>
      <c r="F29" s="37">
        <f t="shared" si="0"/>
        <v>0</v>
      </c>
      <c r="G29" s="37"/>
      <c r="H29" s="37"/>
      <c r="I29" s="37"/>
      <c r="J29" s="37">
        <f t="shared" si="0"/>
        <v>0</v>
      </c>
      <c r="K29" s="37">
        <f t="shared" si="0"/>
        <v>0</v>
      </c>
      <c r="L29" s="37">
        <f t="shared" si="0"/>
        <v>0</v>
      </c>
      <c r="M29" s="37"/>
      <c r="N29" s="37">
        <f t="shared" si="0"/>
        <v>0</v>
      </c>
      <c r="O29" s="37">
        <f t="shared" si="0"/>
        <v>0</v>
      </c>
      <c r="P29" s="37">
        <f t="shared" si="0"/>
        <v>0</v>
      </c>
      <c r="Q29" s="37"/>
      <c r="R29" s="37">
        <f t="shared" si="0"/>
        <v>0</v>
      </c>
      <c r="S29" s="37">
        <f t="shared" si="0"/>
        <v>0</v>
      </c>
      <c r="T29" s="77">
        <f t="shared" si="0"/>
        <v>93.21</v>
      </c>
    </row>
    <row r="30" spans="1:20">
      <c r="A30" s="38" t="s">
        <v>58</v>
      </c>
      <c r="B30" s="39">
        <f t="shared" ref="B30:T30" si="1">AVERAGE(B8:B27)</f>
        <v>1598.4</v>
      </c>
      <c r="C30" s="39"/>
      <c r="D30" s="39"/>
      <c r="E30" s="39"/>
      <c r="F30" s="39" t="e">
        <f t="shared" si="1"/>
        <v>#DIV/0!</v>
      </c>
      <c r="G30" s="39"/>
      <c r="H30" s="39"/>
      <c r="I30" s="39"/>
      <c r="J30" s="39" t="e">
        <f t="shared" si="1"/>
        <v>#DIV/0!</v>
      </c>
      <c r="K30" s="39"/>
      <c r="L30" s="39"/>
      <c r="M30" s="39"/>
      <c r="N30" s="39"/>
      <c r="O30" s="39"/>
      <c r="P30" s="39" t="e">
        <f t="shared" si="1"/>
        <v>#DIV/0!</v>
      </c>
      <c r="Q30" s="39"/>
      <c r="R30" s="39"/>
      <c r="S30" s="39" t="e">
        <f t="shared" si="1"/>
        <v>#DIV/0!</v>
      </c>
      <c r="T30" s="78">
        <f t="shared" si="1"/>
        <v>94.022</v>
      </c>
    </row>
    <row r="31" spans="1:20">
      <c r="A31" s="38" t="s">
        <v>59</v>
      </c>
      <c r="B31" s="39">
        <f t="shared" ref="B31:T31" si="2">MAX(B8:B27)</f>
        <v>1614</v>
      </c>
      <c r="C31" s="39"/>
      <c r="D31" s="39"/>
      <c r="E31" s="39"/>
      <c r="F31" s="39">
        <f t="shared" si="2"/>
        <v>0</v>
      </c>
      <c r="G31" s="39"/>
      <c r="H31" s="39"/>
      <c r="I31" s="39"/>
      <c r="J31" s="39">
        <f t="shared" si="2"/>
        <v>0</v>
      </c>
      <c r="K31" s="39"/>
      <c r="L31" s="39"/>
      <c r="M31" s="39"/>
      <c r="N31" s="39"/>
      <c r="O31" s="39"/>
      <c r="P31" s="39">
        <f t="shared" si="2"/>
        <v>0</v>
      </c>
      <c r="Q31" s="39"/>
      <c r="R31" s="39"/>
      <c r="S31" s="39">
        <f t="shared" si="2"/>
        <v>0</v>
      </c>
      <c r="T31" s="78">
        <f t="shared" si="2"/>
        <v>95.12</v>
      </c>
    </row>
    <row r="32" spans="1:20">
      <c r="A32" s="38" t="s">
        <v>60</v>
      </c>
      <c r="B32" s="39">
        <f t="shared" ref="B32:T32" si="3">STDEV(B8:B27)</f>
        <v>10.4307238483242</v>
      </c>
      <c r="C32" s="39"/>
      <c r="D32" s="39"/>
      <c r="E32" s="39"/>
      <c r="F32" s="39" t="e">
        <f t="shared" si="3"/>
        <v>#DIV/0!</v>
      </c>
      <c r="G32" s="39"/>
      <c r="H32" s="39"/>
      <c r="I32" s="39"/>
      <c r="J32" s="39" t="e">
        <f t="shared" si="3"/>
        <v>#DIV/0!</v>
      </c>
      <c r="K32" s="39"/>
      <c r="L32" s="39"/>
      <c r="M32" s="39"/>
      <c r="N32" s="39"/>
      <c r="O32" s="39"/>
      <c r="P32" s="39" t="e">
        <f t="shared" si="3"/>
        <v>#DIV/0!</v>
      </c>
      <c r="Q32" s="39"/>
      <c r="R32" s="39"/>
      <c r="S32" s="39" t="e">
        <f t="shared" si="3"/>
        <v>#DIV/0!</v>
      </c>
      <c r="T32" s="78">
        <f t="shared" si="3"/>
        <v>0.758465556238387</v>
      </c>
    </row>
    <row r="33" ht="16.15" spans="1:20">
      <c r="A33" s="40" t="s">
        <v>20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79"/>
      <c r="T33" s="80"/>
    </row>
    <row r="34" ht="15" spans="1:18">
      <c r="A34" s="42" t="s">
        <v>61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</sheetData>
  <mergeCells count="12">
    <mergeCell ref="J3:L3"/>
    <mergeCell ref="C5:D5"/>
    <mergeCell ref="L5:N5"/>
    <mergeCell ref="F5:F6"/>
    <mergeCell ref="K5:K6"/>
    <mergeCell ref="O5:O6"/>
    <mergeCell ref="R5:R6"/>
    <mergeCell ref="S5:S6"/>
    <mergeCell ref="C1:P2"/>
    <mergeCell ref="G5:H6"/>
    <mergeCell ref="I5:J6"/>
    <mergeCell ref="P5:Q6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Sh1n</cp:lastModifiedBy>
  <dcterms:created xsi:type="dcterms:W3CDTF">2025-01-06T11:05:00Z</dcterms:created>
  <dcterms:modified xsi:type="dcterms:W3CDTF">2025-07-10T06:53:21Z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5D03723806184563B60E5044F0CD5504_13</vt:lpwstr>
  </property>
  <property fmtid="{D5CDD505-2E9C-101B-9397-08002B2CF9AE}" pid="3" name="KSOProductBuildVer">
    <vt:lpwstr>1033-12.2.0.21931</vt:lpwstr>
  </property>
</Properties>
</file>