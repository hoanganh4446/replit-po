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<sst xmlns="http://schemas.openxmlformats.org/spreadsheetml/2006/main" count="127" uniqueCount="50">
  <si>
    <r>
      <rPr>
        <b/>
        <sz val="24"/>
        <rFont val="Times New Roman"/>
        <charset val="134"/>
      </rPr>
      <t xml:space="preserve">BIỂU SỐ LIỆU KIỂM TRA HIỆU SUẤT
</t>
    </r>
    <r>
      <rPr>
        <b/>
        <sz val="24"/>
        <rFont val="SimSun"/>
        <charset val="134"/>
      </rPr>
      <t>空气性能测试数据记录</t>
    </r>
  </si>
  <si>
    <t>Mã tài liệu</t>
  </si>
  <si>
    <t>LD-JLQA-053</t>
  </si>
  <si>
    <t>Phiên bản</t>
  </si>
  <si>
    <t>A0</t>
  </si>
  <si>
    <t>Ngày sửa đổi</t>
  </si>
  <si>
    <t>08-01-2022</t>
  </si>
  <si>
    <t>Mã sp</t>
  </si>
  <si>
    <t>HX100</t>
  </si>
  <si>
    <t xml:space="preserve">NV kiểm tra </t>
  </si>
  <si>
    <t xml:space="preserve">Ngọc Hà/ Sương/Trung
</t>
  </si>
  <si>
    <t xml:space="preserve">Ngày tháng </t>
  </si>
  <si>
    <t>2025.08.06</t>
  </si>
  <si>
    <t>产品型号</t>
  </si>
  <si>
    <t>检验员</t>
  </si>
  <si>
    <t>日期</t>
  </si>
  <si>
    <t>Item</t>
  </si>
  <si>
    <t>Current   (A)</t>
  </si>
  <si>
    <t>Power Input (W)</t>
  </si>
  <si>
    <t>Hi-pot Test (P/F)</t>
  </si>
  <si>
    <t>Suction
(in.H2O)</t>
  </si>
  <si>
    <t>Airwatt (AW)</t>
  </si>
  <si>
    <t>Impeller speed</t>
  </si>
  <si>
    <t>Air flow  (CFM)</t>
  </si>
  <si>
    <t>Noise (dBA)</t>
  </si>
  <si>
    <t xml:space="preserve"> Strain relief test  (P/F)</t>
  </si>
  <si>
    <t>Screw Torque test (P/F)</t>
  </si>
  <si>
    <t>Handle strength test (P/F)</t>
  </si>
  <si>
    <t>Drop test   (P/F)</t>
  </si>
  <si>
    <t>Bleed valve test (P/F)</t>
  </si>
  <si>
    <t xml:space="preserve">Main unit air tightness test </t>
  </si>
  <si>
    <t>Flexible hose air tightness</t>
  </si>
  <si>
    <t>Dust cup air tightness test</t>
  </si>
  <si>
    <t>Remark:</t>
  </si>
  <si>
    <t xml:space="preserve">Open  </t>
  </si>
  <si>
    <t>Sealed Nozzle</t>
  </si>
  <si>
    <t>Power Nozzle</t>
  </si>
  <si>
    <t>Power Hose</t>
  </si>
  <si>
    <t xml:space="preserve">Barcode
Số tem </t>
  </si>
  <si>
    <t>NA</t>
  </si>
  <si>
    <t>≥21</t>
  </si>
  <si>
    <t>7500-8500 RPM</t>
  </si>
  <si>
    <t>≥21.2</t>
  </si>
  <si>
    <t>≥24.7</t>
  </si>
  <si>
    <t>\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</si>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</sst>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_);[Red]\(0\)"/>
    <numFmt numFmtId="180" formatCode="dd\-mmm\-yy"/>
    <numFmt numFmtId="181" formatCode="0.0"/>
  </numFmts>
  <fonts count="37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name val="新細明體"/>
      <charset val="134"/>
    </font>
    <font>
      <sz val="10"/>
      <name val="Times New Roman"/>
      <charset val="134"/>
    </font>
    <font>
      <sz val="9"/>
      <name val="Times New Roman"/>
      <charset val="134"/>
    </font>
    <font>
      <b/>
      <sz val="9"/>
      <name val="新細明體"/>
      <charset val="136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Times New Roman"/>
      <charset val="134"/>
    </font>
    <font>
      <u/>
      <sz val="12"/>
      <name val="新細明體"/>
      <charset val="134"/>
    </font>
    <font>
      <sz val="12"/>
      <name val="新細明體"/>
      <charset val="136"/>
    </font>
    <font>
      <sz val="11"/>
      <name val="新細明體"/>
      <charset val="136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4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4" applyNumberFormat="0" applyAlignment="0" applyProtection="0">
      <alignment vertical="center"/>
    </xf>
    <xf numFmtId="0" fontId="26" fillId="7" borderId="15" applyNumberFormat="0" applyAlignment="0" applyProtection="0">
      <alignment vertical="center"/>
    </xf>
    <xf numFmtId="0" fontId="27" fillId="7" borderId="14" applyNumberFormat="0" applyAlignment="0" applyProtection="0">
      <alignment vertical="center"/>
    </xf>
    <xf numFmtId="0" fontId="28" fillId="8" borderId="1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5" fillId="0" borderId="0"/>
    <xf numFmtId="0" fontId="15" fillId="0" borderId="0"/>
    <xf numFmtId="0" fontId="1" fillId="0" borderId="0"/>
    <xf numFmtId="0" fontId="0" fillId="0" borderId="0"/>
  </cellStyleXfs>
  <cellXfs count="92">
    <xf numFmtId="0" fontId="0" fillId="0" borderId="0" xfId="0">
      <alignment vertical="center"/>
    </xf>
    <xf numFmtId="0" fontId="0" fillId="0" borderId="0" xfId="52"/>
    <xf numFmtId="178" fontId="0" fillId="0" borderId="0" xfId="52" applyNumberFormat="1"/>
    <xf numFmtId="0" fontId="1" fillId="0" borderId="1" xfId="51" applyBorder="1" applyAlignment="1">
      <alignment horizontal="center"/>
    </xf>
    <xf numFmtId="0" fontId="2" fillId="0" borderId="1" xfId="50" applyFont="1" applyBorder="1" applyAlignment="1">
      <alignment horizontal="center" vertical="center" wrapText="1"/>
    </xf>
    <xf numFmtId="0" fontId="3" fillId="0" borderId="1" xfId="50" applyFont="1" applyBorder="1" applyAlignment="1">
      <alignment horizontal="left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2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5" fillId="0" borderId="1" xfId="50" applyFont="1" applyBorder="1" applyAlignment="1">
      <alignment horizontal="left" vertical="center"/>
    </xf>
    <xf numFmtId="0" fontId="3" fillId="0" borderId="5" xfId="50" applyFont="1" applyBorder="1" applyAlignment="1">
      <alignment horizontal="center" vertical="center"/>
    </xf>
    <xf numFmtId="0" fontId="3" fillId="0" borderId="6" xfId="50" applyFont="1" applyBorder="1" applyAlignment="1">
      <alignment horizontal="center" vertical="center"/>
    </xf>
    <xf numFmtId="0" fontId="3" fillId="0" borderId="7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6" fillId="0" borderId="1" xfId="50" applyFont="1" applyBorder="1" applyAlignment="1">
      <alignment horizontal="center" vertical="center" wrapText="1"/>
    </xf>
    <xf numFmtId="0" fontId="6" fillId="0" borderId="8" xfId="50" applyFont="1" applyBorder="1" applyAlignment="1" applyProtection="1">
      <alignment horizontal="center" vertical="center" wrapText="1"/>
      <protection locked="0"/>
    </xf>
    <xf numFmtId="0" fontId="6" fillId="0" borderId="1" xfId="50" applyFont="1" applyBorder="1" applyAlignment="1" applyProtection="1">
      <alignment horizontal="center" vertical="center" wrapText="1"/>
      <protection locked="0"/>
    </xf>
    <xf numFmtId="0" fontId="6" fillId="0" borderId="9" xfId="50" applyFont="1" applyBorder="1" applyAlignment="1" applyProtection="1">
      <alignment horizontal="center" vertical="center" wrapText="1"/>
      <protection locked="0"/>
    </xf>
    <xf numFmtId="0" fontId="6" fillId="0" borderId="1" xfId="50" applyFont="1" applyBorder="1" applyAlignment="1" applyProtection="1">
      <alignment horizontal="center" vertical="center" wrapText="1"/>
      <protection locked="0"/>
    </xf>
    <xf numFmtId="0" fontId="6" fillId="0" borderId="1" xfId="50" applyFont="1" applyBorder="1" applyAlignment="1" applyProtection="1">
      <alignment horizontal="center" vertical="center"/>
      <protection locked="0"/>
    </xf>
    <xf numFmtId="0" fontId="6" fillId="0" borderId="3" xfId="49" applyFont="1" applyBorder="1" applyAlignment="1" applyProtection="1">
      <alignment horizontal="center" vertical="center" wrapText="1"/>
      <protection locked="0"/>
    </xf>
    <xf numFmtId="0" fontId="6" fillId="0" borderId="0" xfId="49" applyFont="1" applyAlignment="1" applyProtection="1">
      <alignment horizontal="center" vertical="center" wrapText="1"/>
      <protection locked="0"/>
    </xf>
    <xf numFmtId="0" fontId="7" fillId="0" borderId="1" xfId="50" applyFont="1" applyBorder="1" applyAlignment="1" applyProtection="1">
      <alignment horizontal="center" vertical="center" wrapText="1"/>
      <protection locked="0"/>
    </xf>
    <xf numFmtId="0" fontId="6" fillId="0" borderId="6" xfId="49" applyFont="1" applyBorder="1" applyAlignment="1" applyProtection="1">
      <alignment horizontal="center" vertical="center" wrapText="1"/>
      <protection locked="0"/>
    </xf>
    <xf numFmtId="0" fontId="4" fillId="0" borderId="1" xfId="50" applyFont="1" applyBorder="1" applyAlignment="1">
      <alignment horizontal="center" vertical="center" wrapText="1"/>
    </xf>
    <xf numFmtId="0" fontId="8" fillId="2" borderId="1" xfId="50" applyFont="1" applyFill="1" applyBorder="1" applyAlignment="1" applyProtection="1">
      <alignment horizontal="center" vertical="center"/>
      <protection locked="0"/>
    </xf>
    <xf numFmtId="178" fontId="9" fillId="2" borderId="2" xfId="50" applyNumberFormat="1" applyFont="1" applyFill="1" applyBorder="1" applyAlignment="1" applyProtection="1">
      <alignment horizontal="center" vertical="center" wrapText="1"/>
      <protection locked="0"/>
    </xf>
    <xf numFmtId="178" fontId="9" fillId="2" borderId="4" xfId="50" applyNumberFormat="1" applyFont="1" applyFill="1" applyBorder="1" applyAlignment="1" applyProtection="1">
      <alignment horizontal="center" vertical="center"/>
      <protection locked="0"/>
    </xf>
    <xf numFmtId="0" fontId="4" fillId="0" borderId="1" xfId="50" applyFont="1" applyBorder="1" applyAlignment="1">
      <alignment horizontal="center" vertical="center"/>
    </xf>
    <xf numFmtId="178" fontId="9" fillId="2" borderId="5" xfId="50" applyNumberFormat="1" applyFont="1" applyFill="1" applyBorder="1" applyAlignment="1" applyProtection="1">
      <alignment horizontal="center" vertical="center"/>
      <protection locked="0"/>
    </xf>
    <xf numFmtId="178" fontId="9" fillId="2" borderId="7" xfId="50" applyNumberFormat="1" applyFont="1" applyFill="1" applyBorder="1" applyAlignment="1" applyProtection="1">
      <alignment horizontal="center" vertical="center"/>
      <protection locked="0"/>
    </xf>
    <xf numFmtId="0" fontId="6" fillId="0" borderId="1" xfId="5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78" fontId="11" fillId="0" borderId="8" xfId="50" applyNumberFormat="1" applyFont="1" applyBorder="1" applyAlignment="1" applyProtection="1">
      <alignment horizontal="center" vertical="center" wrapText="1"/>
      <protection locked="0"/>
    </xf>
    <xf numFmtId="178" fontId="11" fillId="0" borderId="9" xfId="50" applyNumberFormat="1" applyFont="1" applyBorder="1" applyAlignment="1" applyProtection="1">
      <alignment horizontal="center" vertical="center"/>
      <protection locked="0"/>
    </xf>
    <xf numFmtId="179" fontId="11" fillId="0" borderId="1" xfId="50" applyNumberFormat="1" applyFont="1" applyBorder="1" applyAlignment="1" applyProtection="1">
      <alignment horizontal="center" vertical="center" wrapText="1"/>
      <protection locked="0"/>
    </xf>
    <xf numFmtId="0" fontId="6" fillId="0" borderId="1" xfId="50" applyFont="1" applyBorder="1" applyAlignment="1">
      <alignment horizontal="center"/>
    </xf>
    <xf numFmtId="2" fontId="11" fillId="0" borderId="1" xfId="50" applyNumberFormat="1" applyFont="1" applyBorder="1" applyAlignment="1" applyProtection="1">
      <alignment horizontal="center" vertical="center"/>
      <protection locked="0"/>
    </xf>
    <xf numFmtId="0" fontId="12" fillId="0" borderId="1" xfId="50" applyFont="1" applyBorder="1" applyProtection="1">
      <protection locked="0"/>
    </xf>
    <xf numFmtId="178" fontId="1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79" fontId="11" fillId="0" borderId="1" xfId="50" applyNumberFormat="1" applyFont="1" applyBorder="1" applyProtection="1">
      <protection locked="0"/>
    </xf>
    <xf numFmtId="0" fontId="13" fillId="0" borderId="1" xfId="50" applyFont="1" applyBorder="1" applyAlignment="1">
      <alignment horizontal="center"/>
    </xf>
    <xf numFmtId="2" fontId="11" fillId="0" borderId="1" xfId="50" applyNumberFormat="1" applyFont="1" applyBorder="1" applyProtection="1">
      <protection locked="0"/>
    </xf>
    <xf numFmtId="178" fontId="11" fillId="0" borderId="1" xfId="0" applyNumberFormat="1" applyFont="1" applyBorder="1">
      <alignment vertical="center"/>
    </xf>
    <xf numFmtId="0" fontId="0" fillId="0" borderId="1" xfId="0" applyBorder="1" applyAlignment="1"/>
    <xf numFmtId="178" fontId="11" fillId="0" borderId="1" xfId="50" applyNumberFormat="1" applyFont="1" applyBorder="1" applyAlignment="1" applyProtection="1">
      <alignment vertical="center"/>
      <protection locked="0"/>
    </xf>
    <xf numFmtId="0" fontId="13" fillId="3" borderId="1" xfId="50" applyFont="1" applyFill="1" applyBorder="1" applyAlignment="1">
      <alignment horizontal="center"/>
    </xf>
    <xf numFmtId="2" fontId="13" fillId="4" borderId="1" xfId="50" applyNumberFormat="1" applyFont="1" applyFill="1" applyBorder="1" applyAlignment="1">
      <alignment vertical="center"/>
    </xf>
    <xf numFmtId="0" fontId="13" fillId="0" borderId="1" xfId="50" applyFont="1" applyBorder="1"/>
    <xf numFmtId="0" fontId="13" fillId="0" borderId="1" xfId="50" applyFont="1" applyBorder="1" applyProtection="1">
      <protection locked="0"/>
    </xf>
    <xf numFmtId="0" fontId="13" fillId="0" borderId="0" xfId="50" applyFont="1"/>
    <xf numFmtId="0" fontId="4" fillId="0" borderId="4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0" fontId="4" fillId="0" borderId="3" xfId="50" applyFont="1" applyBorder="1" applyAlignment="1" applyProtection="1">
      <alignment horizontal="center" vertical="center" wrapText="1"/>
      <protection locked="0"/>
    </xf>
    <xf numFmtId="0" fontId="4" fillId="0" borderId="4" xfId="50" applyFont="1" applyBorder="1" applyAlignment="1" applyProtection="1">
      <alignment horizontal="center" vertical="center"/>
      <protection locked="0"/>
    </xf>
    <xf numFmtId="0" fontId="4" fillId="0" borderId="7" xfId="50" applyFont="1" applyBorder="1" applyAlignment="1">
      <alignment horizontal="center" vertical="center"/>
    </xf>
    <xf numFmtId="178" fontId="14" fillId="0" borderId="1" xfId="50" applyNumberFormat="1" applyFont="1" applyBorder="1" applyAlignment="1">
      <alignment horizontal="left"/>
    </xf>
    <xf numFmtId="0" fontId="4" fillId="0" borderId="6" xfId="50" applyFont="1" applyBorder="1" applyAlignment="1" applyProtection="1">
      <alignment horizontal="center" vertical="center"/>
      <protection locked="0"/>
    </xf>
    <xf numFmtId="0" fontId="4" fillId="0" borderId="7" xfId="50" applyFont="1" applyBorder="1" applyAlignment="1" applyProtection="1">
      <alignment horizontal="center" vertical="center"/>
      <protection locked="0"/>
    </xf>
    <xf numFmtId="0" fontId="15" fillId="0" borderId="1" xfId="50" applyBorder="1" applyAlignment="1">
      <alignment horizontal="center"/>
    </xf>
    <xf numFmtId="0" fontId="6" fillId="0" borderId="4" xfId="49" applyFont="1" applyBorder="1" applyAlignment="1" applyProtection="1">
      <alignment horizontal="center" vertical="center" wrapText="1"/>
      <protection locked="0"/>
    </xf>
    <xf numFmtId="178" fontId="6" fillId="0" borderId="2" xfId="50" applyNumberFormat="1" applyFont="1" applyBorder="1" applyAlignment="1" applyProtection="1">
      <alignment horizontal="center" vertical="center" wrapText="1"/>
      <protection locked="0"/>
    </xf>
    <xf numFmtId="178" fontId="6" fillId="0" borderId="4" xfId="50" applyNumberFormat="1" applyFont="1" applyBorder="1" applyAlignment="1" applyProtection="1">
      <alignment horizontal="center" vertical="center" wrapText="1"/>
      <protection locked="0"/>
    </xf>
    <xf numFmtId="0" fontId="6" fillId="0" borderId="10" xfId="49" applyFont="1" applyBorder="1" applyAlignment="1" applyProtection="1">
      <alignment horizontal="center" vertical="center" wrapText="1"/>
      <protection locked="0"/>
    </xf>
    <xf numFmtId="178" fontId="6" fillId="0" borderId="5" xfId="50" applyNumberFormat="1" applyFont="1" applyBorder="1" applyAlignment="1" applyProtection="1">
      <alignment horizontal="center" vertical="center" wrapText="1"/>
      <protection locked="0"/>
    </xf>
    <xf numFmtId="178" fontId="6" fillId="0" borderId="7" xfId="50" applyNumberFormat="1" applyFont="1" applyBorder="1" applyAlignment="1" applyProtection="1">
      <alignment horizontal="center" vertical="center" wrapText="1"/>
      <protection locked="0"/>
    </xf>
    <xf numFmtId="0" fontId="6" fillId="0" borderId="7" xfId="49" applyFont="1" applyBorder="1" applyAlignment="1" applyProtection="1">
      <alignment horizontal="center" vertical="center" wrapText="1"/>
      <protection locked="0"/>
    </xf>
    <xf numFmtId="178" fontId="6" fillId="0" borderId="1" xfId="50" applyNumberFormat="1" applyFont="1" applyBorder="1" applyAlignment="1" applyProtection="1">
      <alignment horizontal="center" vertical="center" wrapText="1"/>
      <protection locked="0"/>
    </xf>
    <xf numFmtId="178" fontId="9" fillId="2" borderId="1" xfId="50" applyNumberFormat="1" applyFont="1" applyFill="1" applyBorder="1" applyAlignment="1" applyProtection="1">
      <alignment horizontal="center" vertical="center" wrapText="1"/>
      <protection locked="0"/>
    </xf>
    <xf numFmtId="178" fontId="11" fillId="0" borderId="1" xfId="50" applyNumberFormat="1" applyFont="1" applyBorder="1" applyAlignment="1" applyProtection="1">
      <alignment horizontal="center" vertical="center"/>
      <protection locked="0"/>
    </xf>
    <xf numFmtId="0" fontId="11" fillId="0" borderId="1" xfId="50" applyFont="1" applyBorder="1" applyProtection="1">
      <protection locked="0"/>
    </xf>
    <xf numFmtId="178" fontId="11" fillId="0" borderId="1" xfId="50" applyNumberFormat="1" applyFont="1" applyBorder="1" applyProtection="1">
      <protection locked="0"/>
    </xf>
    <xf numFmtId="178" fontId="11" fillId="0" borderId="1" xfId="49" applyNumberFormat="1" applyFont="1" applyBorder="1" applyAlignment="1" applyProtection="1">
      <alignment vertical="center"/>
      <protection locked="0"/>
    </xf>
    <xf numFmtId="178" fontId="13" fillId="0" borderId="1" xfId="50" applyNumberFormat="1" applyFont="1" applyBorder="1" applyProtection="1">
      <protection locked="0"/>
    </xf>
    <xf numFmtId="178" fontId="13" fillId="0" borderId="0" xfId="50" applyNumberFormat="1" applyFont="1"/>
    <xf numFmtId="0" fontId="4" fillId="0" borderId="1" xfId="51" applyFont="1" applyBorder="1" applyAlignment="1">
      <alignment horizontal="left" vertical="center"/>
    </xf>
    <xf numFmtId="0" fontId="4" fillId="0" borderId="1" xfId="50" applyFont="1" applyBorder="1" applyAlignment="1">
      <alignment horizontal="left" vertical="center"/>
    </xf>
    <xf numFmtId="58" fontId="4" fillId="0" borderId="1" xfId="50" applyNumberFormat="1" applyFont="1" applyBorder="1" applyAlignment="1">
      <alignment horizontal="left" vertical="center"/>
    </xf>
    <xf numFmtId="180" fontId="4" fillId="0" borderId="2" xfId="50" applyNumberFormat="1" applyFont="1" applyBorder="1" applyAlignment="1" applyProtection="1">
      <alignment horizontal="center" vertical="center"/>
      <protection locked="0"/>
    </xf>
    <xf numFmtId="180" fontId="4" fillId="0" borderId="3" xfId="50" applyNumberFormat="1" applyFont="1" applyBorder="1" applyAlignment="1" applyProtection="1">
      <alignment horizontal="center" vertical="center"/>
      <protection locked="0"/>
    </xf>
    <xf numFmtId="180" fontId="4" fillId="0" borderId="4" xfId="50" applyNumberFormat="1" applyFont="1" applyBorder="1" applyAlignment="1" applyProtection="1">
      <alignment horizontal="center" vertical="center"/>
      <protection locked="0"/>
    </xf>
    <xf numFmtId="180" fontId="4" fillId="0" borderId="5" xfId="50" applyNumberFormat="1" applyFont="1" applyBorder="1" applyAlignment="1" applyProtection="1">
      <alignment horizontal="center" vertical="center"/>
      <protection locked="0"/>
    </xf>
    <xf numFmtId="180" fontId="4" fillId="0" borderId="6" xfId="50" applyNumberFormat="1" applyFont="1" applyBorder="1" applyAlignment="1" applyProtection="1">
      <alignment horizontal="center" vertical="center"/>
      <protection locked="0"/>
    </xf>
    <xf numFmtId="180" fontId="4" fillId="0" borderId="7" xfId="50" applyNumberFormat="1" applyFont="1" applyBorder="1" applyAlignment="1" applyProtection="1">
      <alignment horizontal="center" vertical="center"/>
      <protection locked="0"/>
    </xf>
    <xf numFmtId="181" fontId="11" fillId="0" borderId="1" xfId="50" applyNumberFormat="1" applyFont="1" applyBorder="1" applyProtection="1">
      <protection locked="0"/>
    </xf>
    <xf numFmtId="0" fontId="16" fillId="0" borderId="1" xfId="50" applyFont="1" applyBorder="1" applyProtection="1">
      <protection locked="0"/>
    </xf>
    <xf numFmtId="0" fontId="15" fillId="0" borderId="0" xfId="50"/>
    <xf numFmtId="0" fontId="0" fillId="0" borderId="0" xfId="0" applyAlignment="1"/>
    <xf numFmtId="58" fontId="4" fillId="0" borderId="1" xfId="50" applyNumberFormat="1" applyFont="1" applyBorder="1" applyAlignment="1" quotePrefix="1">
      <alignment horizontal="left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一般_吸塵器測試數據表" xfId="49"/>
    <cellStyle name="一般_吸塵器測試數據表 2" xfId="50"/>
    <cellStyle name="常规 2" xfId="51"/>
    <cellStyle name="常规 3" xfId="52"/>
  </cellStyles>
  <dxfs count="18">
    <dxf>
      <font>
        <b val="0"/>
        <i val="0"/>
        <color indexed="1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445770</xdr:colOff>
      <xdr:row>2</xdr:row>
      <xdr:rowOff>200025</xdr:rowOff>
    </xdr:to>
    <xdr:pic>
      <xdr:nvPicPr>
        <xdr:cNvPr id="2" name="Picture 4"/>
        <xdr:cNvPicPr>
          <a:picLocks noChangeAspect="1"/>
        </xdr:cNvPicPr>
      </xdr:nvPicPr>
      <xdr:blipFill>
        <a:blip r:embed="rId1"/>
        <a:srcRect l="1143"/>
        <a:stretch>
          <a:fillRect/>
        </a:stretch>
      </xdr:blipFill>
      <xdr:spPr>
        <a:xfrm>
          <a:off x="161925" y="57150"/>
          <a:ext cx="211264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6"/>
  <sheetViews>
    <sheetView tabSelected="1" workbookViewId="0">
      <selection activeCell="C6" sqref="C6:C7"/>
    </sheetView>
  </sheetViews>
  <sheetFormatPr defaultColWidth="9.12962962962963" defaultRowHeight="14.4"/>
  <cols>
    <col min="1" max="1" width="18.2685185185185" style="1" customWidth="1"/>
    <col min="2" max="3" width="8.39814814814815" style="1" customWidth="1"/>
    <col min="4" max="4" width="6.87037037037037" style="1" customWidth="1"/>
    <col min="5" max="7" width="9.60185185185185" style="1" customWidth="1"/>
    <col min="8" max="8" width="8.60185185185185" style="1" customWidth="1"/>
    <col min="9" max="9" width="8.39814814814815" style="1" customWidth="1"/>
    <col min="10" max="11" width="9.60185185185185" style="2" hidden="1" customWidth="1"/>
    <col min="12" max="12" width="6.87037037037037" style="1" customWidth="1"/>
    <col min="13" max="13" width="7.26851851851852" style="1" customWidth="1"/>
    <col min="14" max="14" width="7.39814814814815" style="1" customWidth="1"/>
    <col min="15" max="15" width="7.73148148148148" style="1" customWidth="1"/>
    <col min="16" max="16" width="5.87037037037037" style="1" customWidth="1"/>
    <col min="17" max="17" width="6.52777777777778" style="1" customWidth="1"/>
    <col min="18" max="18" width="6.39814814814815" style="1" customWidth="1"/>
    <col min="19" max="19" width="6.26851851851852" style="1" customWidth="1"/>
    <col min="20" max="20" width="7.52777777777778" style="1" customWidth="1"/>
  </cols>
  <sheetData>
    <row r="1" ht="21" customHeight="1" spans="1:20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79" t="s">
        <v>1</v>
      </c>
      <c r="R1" s="79"/>
      <c r="S1" s="79" t="s">
        <v>2</v>
      </c>
      <c r="T1" s="79"/>
    </row>
    <row r="2" ht="21" customHeight="1" spans="1:20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80" t="s">
        <v>3</v>
      </c>
      <c r="R2" s="80"/>
      <c r="S2" s="80" t="s">
        <v>4</v>
      </c>
      <c r="T2" s="80"/>
    </row>
    <row r="3" ht="18" customHeight="1" spans="1:20">
      <c r="A3" s="3"/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80" t="s">
        <v>5</v>
      </c>
      <c r="R3" s="80"/>
      <c r="S3" s="92" t="s">
        <v>6</v>
      </c>
      <c r="T3" s="81"/>
    </row>
    <row r="4" ht="15.6" spans="1:20">
      <c r="A4" s="5" t="s">
        <v>7</v>
      </c>
      <c r="B4" s="5"/>
      <c r="C4" s="6" t="s">
        <v>8</v>
      </c>
      <c r="D4" s="7"/>
      <c r="E4" s="8"/>
      <c r="F4" s="9">
        <v>20178041</v>
      </c>
      <c r="G4" s="10"/>
      <c r="H4" s="10"/>
      <c r="I4" s="55"/>
      <c r="J4" s="56" t="s">
        <v>9</v>
      </c>
      <c r="K4" s="56"/>
      <c r="L4" s="56"/>
      <c r="M4" s="57" t="s">
        <v>10</v>
      </c>
      <c r="N4" s="58"/>
      <c r="O4" s="56" t="s">
        <v>11</v>
      </c>
      <c r="P4" s="56"/>
      <c r="Q4" s="82" t="s">
        <v>12</v>
      </c>
      <c r="R4" s="83"/>
      <c r="S4" s="83"/>
      <c r="T4" s="84"/>
    </row>
    <row r="5" ht="15.6" spans="1:20">
      <c r="A5" s="11" t="s">
        <v>13</v>
      </c>
      <c r="B5" s="11"/>
      <c r="C5" s="12"/>
      <c r="D5" s="13"/>
      <c r="E5" s="14"/>
      <c r="F5" s="15"/>
      <c r="G5" s="16"/>
      <c r="H5" s="16"/>
      <c r="I5" s="59"/>
      <c r="J5" s="60" t="s">
        <v>14</v>
      </c>
      <c r="K5" s="60"/>
      <c r="L5" s="60"/>
      <c r="M5" s="61"/>
      <c r="N5" s="62"/>
      <c r="O5" s="63" t="s">
        <v>15</v>
      </c>
      <c r="P5" s="63"/>
      <c r="Q5" s="85"/>
      <c r="R5" s="86"/>
      <c r="S5" s="86"/>
      <c r="T5" s="87"/>
    </row>
    <row r="6" spans="1:20">
      <c r="A6" s="17" t="s">
        <v>16</v>
      </c>
      <c r="B6" s="18" t="s">
        <v>17</v>
      </c>
      <c r="C6" s="19" t="s">
        <v>18</v>
      </c>
      <c r="D6" s="20" t="s">
        <v>19</v>
      </c>
      <c r="E6" s="19" t="s">
        <v>20</v>
      </c>
      <c r="F6" s="21" t="s">
        <v>21</v>
      </c>
      <c r="G6" s="22"/>
      <c r="H6" s="23" t="s">
        <v>22</v>
      </c>
      <c r="I6" s="64"/>
      <c r="J6" s="65" t="s">
        <v>23</v>
      </c>
      <c r="K6" s="66"/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</row>
    <row r="7" spans="1:20">
      <c r="A7" s="17" t="s">
        <v>33</v>
      </c>
      <c r="B7" s="18"/>
      <c r="C7" s="19"/>
      <c r="D7" s="20"/>
      <c r="E7" s="19"/>
      <c r="F7" s="22"/>
      <c r="G7" s="22"/>
      <c r="H7" s="24"/>
      <c r="I7" s="67"/>
      <c r="J7" s="68"/>
      <c r="K7" s="69"/>
      <c r="L7" s="19"/>
      <c r="M7" s="19"/>
      <c r="N7" s="19"/>
      <c r="O7" s="19"/>
      <c r="P7" s="19"/>
      <c r="Q7" s="19"/>
      <c r="R7" s="19"/>
      <c r="S7" s="19"/>
      <c r="T7" s="19"/>
    </row>
    <row r="8" ht="26.4" spans="1:20">
      <c r="A8" s="17"/>
      <c r="B8" s="18"/>
      <c r="C8" s="19" t="s">
        <v>34</v>
      </c>
      <c r="D8" s="20"/>
      <c r="E8" s="25" t="s">
        <v>35</v>
      </c>
      <c r="F8" s="22"/>
      <c r="G8" s="22"/>
      <c r="H8" s="26"/>
      <c r="I8" s="70"/>
      <c r="J8" s="71" t="s">
        <v>36</v>
      </c>
      <c r="K8" s="71" t="s">
        <v>37</v>
      </c>
      <c r="L8" s="19"/>
      <c r="M8" s="19"/>
      <c r="N8" s="19"/>
      <c r="O8" s="19"/>
      <c r="P8" s="19"/>
      <c r="Q8" s="19"/>
      <c r="R8" s="19"/>
      <c r="S8" s="19"/>
      <c r="T8" s="19"/>
    </row>
    <row r="9" spans="1:20">
      <c r="A9" s="27" t="s">
        <v>38</v>
      </c>
      <c r="B9" s="28" t="s">
        <v>39</v>
      </c>
      <c r="C9" s="28" t="s">
        <v>39</v>
      </c>
      <c r="D9" s="28" t="s">
        <v>39</v>
      </c>
      <c r="E9" s="28" t="s">
        <v>39</v>
      </c>
      <c r="F9" s="29" t="s">
        <v>40</v>
      </c>
      <c r="G9" s="30"/>
      <c r="H9" s="29" t="s">
        <v>41</v>
      </c>
      <c r="I9" s="30"/>
      <c r="J9" s="72" t="s">
        <v>42</v>
      </c>
      <c r="K9" s="72" t="s">
        <v>43</v>
      </c>
      <c r="L9" s="28" t="s">
        <v>39</v>
      </c>
      <c r="M9" s="28" t="s">
        <v>39</v>
      </c>
      <c r="N9" s="28" t="s">
        <v>39</v>
      </c>
      <c r="O9" s="28" t="s">
        <v>39</v>
      </c>
      <c r="P9" s="28" t="s">
        <v>39</v>
      </c>
      <c r="Q9" s="28" t="s">
        <v>39</v>
      </c>
      <c r="R9" s="28" t="s">
        <v>39</v>
      </c>
      <c r="S9" s="28" t="s">
        <v>39</v>
      </c>
      <c r="T9" s="28" t="s">
        <v>39</v>
      </c>
    </row>
    <row r="10" spans="1:20">
      <c r="A10" s="31"/>
      <c r="B10" s="28"/>
      <c r="C10" s="28"/>
      <c r="D10" s="28"/>
      <c r="E10" s="28"/>
      <c r="F10" s="32"/>
      <c r="G10" s="33"/>
      <c r="H10" s="32"/>
      <c r="I10" s="33"/>
      <c r="J10" s="72"/>
      <c r="K10" s="72"/>
      <c r="L10" s="28"/>
      <c r="M10" s="28"/>
      <c r="N10" s="28"/>
      <c r="O10" s="28"/>
      <c r="P10" s="28"/>
      <c r="Q10" s="28"/>
      <c r="R10" s="28"/>
      <c r="S10" s="28"/>
      <c r="T10" s="28"/>
    </row>
    <row r="11" spans="1:20">
      <c r="A11" s="34"/>
      <c r="B11" s="35" t="s">
        <v>44</v>
      </c>
      <c r="C11" s="35" t="s">
        <v>44</v>
      </c>
      <c r="D11" s="35" t="s">
        <v>44</v>
      </c>
      <c r="E11" s="35" t="s">
        <v>44</v>
      </c>
      <c r="F11" s="36">
        <v>21.98</v>
      </c>
      <c r="G11" s="37"/>
      <c r="H11" s="38">
        <v>8103</v>
      </c>
      <c r="I11" s="38"/>
      <c r="J11" s="73">
        <v>26.49</v>
      </c>
      <c r="K11" s="73">
        <v>31.52</v>
      </c>
      <c r="L11" s="35" t="s">
        <v>44</v>
      </c>
      <c r="M11" s="35" t="s">
        <v>44</v>
      </c>
      <c r="N11" s="35" t="s">
        <v>44</v>
      </c>
      <c r="O11" s="35" t="s">
        <v>44</v>
      </c>
      <c r="P11" s="35" t="s">
        <v>44</v>
      </c>
      <c r="Q11" s="35" t="s">
        <v>44</v>
      </c>
      <c r="R11" s="35" t="s">
        <v>44</v>
      </c>
      <c r="S11" s="35" t="s">
        <v>44</v>
      </c>
      <c r="T11" s="35" t="s">
        <v>44</v>
      </c>
    </row>
    <row r="12" spans="1:20">
      <c r="A12" s="34"/>
      <c r="B12" s="35" t="s">
        <v>44</v>
      </c>
      <c r="C12" s="35" t="s">
        <v>44</v>
      </c>
      <c r="D12" s="35" t="s">
        <v>44</v>
      </c>
      <c r="E12" s="35" t="s">
        <v>44</v>
      </c>
      <c r="F12" s="36">
        <v>21.24</v>
      </c>
      <c r="G12" s="37"/>
      <c r="H12" s="38">
        <v>8201</v>
      </c>
      <c r="I12" s="38"/>
      <c r="J12" s="73">
        <v>26.6</v>
      </c>
      <c r="K12" s="73">
        <v>32.95</v>
      </c>
      <c r="L12" s="35" t="s">
        <v>44</v>
      </c>
      <c r="M12" s="35" t="s">
        <v>44</v>
      </c>
      <c r="N12" s="35" t="s">
        <v>44</v>
      </c>
      <c r="O12" s="35" t="s">
        <v>44</v>
      </c>
      <c r="P12" s="35" t="s">
        <v>44</v>
      </c>
      <c r="Q12" s="35" t="s">
        <v>44</v>
      </c>
      <c r="R12" s="35" t="s">
        <v>44</v>
      </c>
      <c r="S12" s="35" t="s">
        <v>44</v>
      </c>
      <c r="T12" s="35" t="s">
        <v>44</v>
      </c>
    </row>
    <row r="13" spans="1:20">
      <c r="A13" s="34"/>
      <c r="B13" s="35" t="s">
        <v>44</v>
      </c>
      <c r="C13" s="35" t="s">
        <v>44</v>
      </c>
      <c r="D13" s="35" t="s">
        <v>44</v>
      </c>
      <c r="E13" s="35" t="s">
        <v>44</v>
      </c>
      <c r="F13" s="36">
        <v>21.54</v>
      </c>
      <c r="G13" s="37"/>
      <c r="H13" s="38">
        <v>8225</v>
      </c>
      <c r="I13" s="38"/>
      <c r="J13" s="73">
        <v>26.37</v>
      </c>
      <c r="K13" s="73">
        <v>30.22</v>
      </c>
      <c r="L13" s="35" t="s">
        <v>44</v>
      </c>
      <c r="M13" s="35" t="s">
        <v>44</v>
      </c>
      <c r="N13" s="35" t="s">
        <v>44</v>
      </c>
      <c r="O13" s="35" t="s">
        <v>44</v>
      </c>
      <c r="P13" s="35" t="s">
        <v>44</v>
      </c>
      <c r="Q13" s="35" t="s">
        <v>44</v>
      </c>
      <c r="R13" s="35" t="s">
        <v>44</v>
      </c>
      <c r="S13" s="35" t="s">
        <v>44</v>
      </c>
      <c r="T13" s="35" t="s">
        <v>44</v>
      </c>
    </row>
    <row r="14" spans="1:20">
      <c r="A14" s="34"/>
      <c r="B14" s="35" t="s">
        <v>44</v>
      </c>
      <c r="C14" s="35" t="s">
        <v>44</v>
      </c>
      <c r="D14" s="35" t="s">
        <v>44</v>
      </c>
      <c r="E14" s="35" t="s">
        <v>44</v>
      </c>
      <c r="F14" s="36">
        <v>22.01</v>
      </c>
      <c r="G14" s="37"/>
      <c r="H14" s="38">
        <v>8210</v>
      </c>
      <c r="I14" s="38"/>
      <c r="J14" s="73">
        <v>28.05</v>
      </c>
      <c r="K14" s="73">
        <v>32.4</v>
      </c>
      <c r="L14" s="35" t="s">
        <v>44</v>
      </c>
      <c r="M14" s="35" t="s">
        <v>44</v>
      </c>
      <c r="N14" s="35" t="s">
        <v>44</v>
      </c>
      <c r="O14" s="35" t="s">
        <v>44</v>
      </c>
      <c r="P14" s="35" t="s">
        <v>44</v>
      </c>
      <c r="Q14" s="35" t="s">
        <v>44</v>
      </c>
      <c r="R14" s="35" t="s">
        <v>44</v>
      </c>
      <c r="S14" s="35" t="s">
        <v>44</v>
      </c>
      <c r="T14" s="35" t="s">
        <v>44</v>
      </c>
    </row>
    <row r="15" spans="1:20">
      <c r="A15" s="34"/>
      <c r="B15" s="35" t="s">
        <v>44</v>
      </c>
      <c r="C15" s="35" t="s">
        <v>44</v>
      </c>
      <c r="D15" s="35" t="s">
        <v>44</v>
      </c>
      <c r="E15" s="35" t="s">
        <v>44</v>
      </c>
      <c r="F15" s="36">
        <v>21.87</v>
      </c>
      <c r="G15" s="37"/>
      <c r="H15" s="38">
        <v>8196</v>
      </c>
      <c r="I15" s="38"/>
      <c r="J15" s="73">
        <v>24</v>
      </c>
      <c r="K15" s="73">
        <v>32.43</v>
      </c>
      <c r="L15" s="35" t="s">
        <v>44</v>
      </c>
      <c r="M15" s="35" t="s">
        <v>44</v>
      </c>
      <c r="N15" s="35" t="s">
        <v>44</v>
      </c>
      <c r="O15" s="35" t="s">
        <v>44</v>
      </c>
      <c r="P15" s="35" t="s">
        <v>44</v>
      </c>
      <c r="Q15" s="35" t="s">
        <v>44</v>
      </c>
      <c r="R15" s="35" t="s">
        <v>44</v>
      </c>
      <c r="S15" s="35" t="s">
        <v>44</v>
      </c>
      <c r="T15" s="35" t="s">
        <v>44</v>
      </c>
    </row>
    <row r="16" spans="1:20">
      <c r="A16" s="39">
        <v>6</v>
      </c>
      <c r="B16" s="40"/>
      <c r="C16" s="40"/>
      <c r="D16" s="41"/>
      <c r="E16" s="42"/>
      <c r="F16" s="42"/>
      <c r="G16" s="42"/>
      <c r="H16" s="43"/>
      <c r="I16" s="43"/>
      <c r="J16" s="35"/>
      <c r="K16" s="43"/>
      <c r="L16" s="48"/>
      <c r="M16" s="41"/>
      <c r="N16" s="41"/>
      <c r="O16" s="74"/>
      <c r="P16" s="74"/>
      <c r="Q16" s="41"/>
      <c r="R16" s="88"/>
      <c r="S16" s="88"/>
      <c r="T16" s="88"/>
    </row>
    <row r="17" spans="1:20">
      <c r="A17" s="39">
        <v>7</v>
      </c>
      <c r="C17" s="44"/>
      <c r="D17" s="41"/>
      <c r="E17" s="42"/>
      <c r="F17" s="42"/>
      <c r="G17" s="42"/>
      <c r="H17" s="42"/>
      <c r="I17" s="42"/>
      <c r="J17" s="35"/>
      <c r="K17" s="42"/>
      <c r="L17" s="47"/>
      <c r="M17" s="41"/>
      <c r="N17" s="41"/>
      <c r="O17" s="74"/>
      <c r="P17" s="74"/>
      <c r="Q17" s="41"/>
      <c r="R17" s="88"/>
      <c r="S17" s="88"/>
      <c r="T17" s="88"/>
    </row>
    <row r="18" spans="1:20">
      <c r="A18" s="45">
        <v>8</v>
      </c>
      <c r="B18" s="46"/>
      <c r="C18" s="44"/>
      <c r="D18" s="41"/>
      <c r="E18" s="47"/>
      <c r="F18" s="42"/>
      <c r="G18" s="42"/>
      <c r="H18" s="42"/>
      <c r="I18" s="42"/>
      <c r="J18" s="35"/>
      <c r="K18" s="42"/>
      <c r="L18" s="47"/>
      <c r="M18" s="41"/>
      <c r="N18" s="41"/>
      <c r="O18" s="74"/>
      <c r="P18" s="74"/>
      <c r="Q18" s="41"/>
      <c r="R18" s="88"/>
      <c r="S18" s="88"/>
      <c r="T18" s="88"/>
    </row>
    <row r="19" spans="1:20">
      <c r="A19" s="45">
        <v>9</v>
      </c>
      <c r="B19" s="46"/>
      <c r="C19" s="44"/>
      <c r="D19" s="41"/>
      <c r="E19" s="47"/>
      <c r="F19" s="42"/>
      <c r="G19" s="42"/>
      <c r="H19" s="42"/>
      <c r="I19" s="42"/>
      <c r="J19" s="35"/>
      <c r="K19" s="42"/>
      <c r="L19" s="47"/>
      <c r="M19" s="75"/>
      <c r="N19" s="41"/>
      <c r="O19" s="74"/>
      <c r="P19" s="74"/>
      <c r="Q19" s="41"/>
      <c r="R19" s="88"/>
      <c r="S19" s="88"/>
      <c r="T19" s="88"/>
    </row>
    <row r="20" spans="1:20">
      <c r="A20" s="45">
        <v>10</v>
      </c>
      <c r="B20" s="46"/>
      <c r="C20" s="44"/>
      <c r="D20" s="41"/>
      <c r="E20" s="47"/>
      <c r="F20" s="42"/>
      <c r="G20" s="42"/>
      <c r="H20" s="48"/>
      <c r="I20" s="42"/>
      <c r="J20" s="35"/>
      <c r="K20" s="76"/>
      <c r="L20" s="47"/>
      <c r="M20" s="75"/>
      <c r="N20" s="41"/>
      <c r="O20" s="74"/>
      <c r="P20" s="74"/>
      <c r="Q20" s="41"/>
      <c r="R20" s="88"/>
      <c r="S20" s="88"/>
      <c r="T20" s="88"/>
    </row>
    <row r="21" spans="1:20">
      <c r="A21" s="45">
        <v>11</v>
      </c>
      <c r="B21" s="46"/>
      <c r="C21" s="44"/>
      <c r="D21" s="41"/>
      <c r="E21" s="47"/>
      <c r="F21" s="42"/>
      <c r="G21" s="42"/>
      <c r="H21" s="48"/>
      <c r="I21" s="42"/>
      <c r="J21" s="42"/>
      <c r="K21" s="76"/>
      <c r="L21" s="47"/>
      <c r="M21" s="75"/>
      <c r="N21" s="41"/>
      <c r="O21" s="74"/>
      <c r="P21" s="74"/>
      <c r="Q21" s="41"/>
      <c r="R21" s="88"/>
      <c r="S21" s="88"/>
      <c r="T21" s="88"/>
    </row>
    <row r="22" spans="1:20">
      <c r="A22" s="45">
        <v>12</v>
      </c>
      <c r="B22" s="46"/>
      <c r="C22" s="44"/>
      <c r="D22" s="41"/>
      <c r="E22" s="47"/>
      <c r="F22" s="47"/>
      <c r="G22" s="47"/>
      <c r="H22" s="48"/>
      <c r="I22" s="48"/>
      <c r="J22" s="42"/>
      <c r="K22" s="76"/>
      <c r="L22" s="47"/>
      <c r="M22" s="75"/>
      <c r="N22" s="41"/>
      <c r="O22" s="74"/>
      <c r="P22" s="74"/>
      <c r="Q22" s="41"/>
      <c r="R22" s="88"/>
      <c r="S22" s="88"/>
      <c r="T22" s="88"/>
    </row>
    <row r="23" spans="1:20">
      <c r="A23" s="45">
        <v>13</v>
      </c>
      <c r="B23" s="46"/>
      <c r="C23" s="44"/>
      <c r="D23" s="41"/>
      <c r="E23" s="49"/>
      <c r="F23" s="49"/>
      <c r="G23" s="49"/>
      <c r="H23" s="49"/>
      <c r="I23" s="47"/>
      <c r="J23" s="76"/>
      <c r="K23" s="76"/>
      <c r="L23" s="47"/>
      <c r="M23" s="75"/>
      <c r="N23" s="41"/>
      <c r="O23" s="74"/>
      <c r="P23" s="74"/>
      <c r="Q23" s="41"/>
      <c r="R23" s="88"/>
      <c r="S23" s="88"/>
      <c r="T23" s="88"/>
    </row>
    <row r="24" spans="1:20">
      <c r="A24" s="45">
        <v>14</v>
      </c>
      <c r="B24" s="46"/>
      <c r="C24" s="44"/>
      <c r="D24" s="41"/>
      <c r="E24" s="46"/>
      <c r="F24" s="46"/>
      <c r="G24" s="46"/>
      <c r="H24" s="46"/>
      <c r="I24" s="46"/>
      <c r="J24" s="47"/>
      <c r="K24" s="47"/>
      <c r="L24" s="46"/>
      <c r="M24" s="46"/>
      <c r="N24" s="46"/>
      <c r="O24" s="46"/>
      <c r="P24" s="46"/>
      <c r="Q24" s="41"/>
      <c r="R24" s="46"/>
      <c r="S24" s="46"/>
      <c r="T24" s="88"/>
    </row>
    <row r="25" spans="1:20">
      <c r="A25" s="45">
        <v>15</v>
      </c>
      <c r="B25" s="46"/>
      <c r="C25" s="44"/>
      <c r="D25" s="41"/>
      <c r="E25" s="46"/>
      <c r="F25" s="46"/>
      <c r="G25" s="46"/>
      <c r="H25" s="46"/>
      <c r="I25" s="46"/>
      <c r="J25" s="75"/>
      <c r="K25" s="75"/>
      <c r="L25" s="46"/>
      <c r="M25" s="46"/>
      <c r="N25" s="46"/>
      <c r="O25" s="46"/>
      <c r="P25" s="46"/>
      <c r="Q25" s="41"/>
      <c r="R25" s="46"/>
      <c r="S25" s="46"/>
      <c r="T25" s="88"/>
    </row>
    <row r="26" spans="1:20">
      <c r="A26" s="45">
        <v>16</v>
      </c>
      <c r="B26" s="46"/>
      <c r="C26" s="44"/>
      <c r="D26" s="41"/>
      <c r="E26" s="46"/>
      <c r="F26" s="46"/>
      <c r="G26" s="46"/>
      <c r="H26" s="46"/>
      <c r="I26" s="46"/>
      <c r="J26" s="75"/>
      <c r="K26" s="75"/>
      <c r="L26" s="46"/>
      <c r="M26" s="46"/>
      <c r="N26" s="46"/>
      <c r="O26" s="46"/>
      <c r="P26" s="46"/>
      <c r="Q26" s="41"/>
      <c r="R26" s="46"/>
      <c r="S26" s="46"/>
      <c r="T26" s="88"/>
    </row>
    <row r="27" spans="1:20">
      <c r="A27" s="45">
        <v>17</v>
      </c>
      <c r="B27" s="46"/>
      <c r="C27" s="44"/>
      <c r="D27" s="41"/>
      <c r="E27" s="46"/>
      <c r="F27" s="46"/>
      <c r="G27" s="46"/>
      <c r="H27" s="46"/>
      <c r="I27" s="46"/>
      <c r="J27" s="75"/>
      <c r="K27" s="75"/>
      <c r="L27" s="46"/>
      <c r="M27" s="46"/>
      <c r="N27" s="46"/>
      <c r="O27" s="46"/>
      <c r="P27" s="46"/>
      <c r="Q27" s="41"/>
      <c r="R27" s="46"/>
      <c r="S27" s="46"/>
      <c r="T27" s="88"/>
    </row>
    <row r="28" spans="1:20">
      <c r="A28" s="45">
        <v>18</v>
      </c>
      <c r="B28" s="46"/>
      <c r="C28" s="44"/>
      <c r="D28" s="41"/>
      <c r="E28" s="46"/>
      <c r="F28" s="46"/>
      <c r="G28" s="46"/>
      <c r="H28" s="46"/>
      <c r="I28" s="46"/>
      <c r="J28" s="75"/>
      <c r="K28" s="75"/>
      <c r="L28" s="46"/>
      <c r="M28" s="46"/>
      <c r="N28" s="46"/>
      <c r="O28" s="46"/>
      <c r="P28" s="46"/>
      <c r="Q28" s="41"/>
      <c r="R28" s="46"/>
      <c r="S28" s="46"/>
      <c r="T28" s="88"/>
    </row>
    <row r="29" spans="1:20">
      <c r="A29" s="45">
        <v>19</v>
      </c>
      <c r="B29" s="46"/>
      <c r="C29" s="44"/>
      <c r="D29" s="41"/>
      <c r="E29" s="46"/>
      <c r="F29" s="46"/>
      <c r="G29" s="46"/>
      <c r="H29" s="46"/>
      <c r="I29" s="46"/>
      <c r="J29" s="75"/>
      <c r="K29" s="75"/>
      <c r="L29" s="46"/>
      <c r="M29" s="46"/>
      <c r="N29" s="46"/>
      <c r="O29" s="46"/>
      <c r="P29" s="46"/>
      <c r="Q29" s="41"/>
      <c r="R29" s="46"/>
      <c r="S29" s="46"/>
      <c r="T29" s="88"/>
    </row>
    <row r="30" spans="1:20">
      <c r="A30" s="45">
        <v>20</v>
      </c>
      <c r="B30" s="46"/>
      <c r="C30" s="44"/>
      <c r="D30" s="41"/>
      <c r="E30" s="46"/>
      <c r="F30" s="46"/>
      <c r="G30" s="46"/>
      <c r="H30" s="46"/>
      <c r="I30" s="46"/>
      <c r="J30" s="75"/>
      <c r="K30" s="75"/>
      <c r="L30" s="46"/>
      <c r="M30" s="46"/>
      <c r="N30" s="46"/>
      <c r="O30" s="46"/>
      <c r="P30" s="46"/>
      <c r="Q30" s="41"/>
      <c r="R30" s="46"/>
      <c r="S30" s="46"/>
      <c r="T30" s="88"/>
    </row>
    <row r="31" spans="1:20">
      <c r="A31" s="50" t="s">
        <v>45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 t="str">
        <f t="shared" ref="R31:T31" si="0">IF(R11=" "," ",IF(MIN(R11:R30)=0," ",MIN(R11:R30)))</f>
        <v/>
      </c>
      <c r="S31" s="51" t="str">
        <f t="shared" si="0"/>
        <v/>
      </c>
      <c r="T31" s="51" t="str">
        <f t="shared" si="0"/>
        <v/>
      </c>
    </row>
    <row r="32" spans="1:20">
      <c r="A32" s="50" t="s">
        <v>46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 t="str">
        <f t="shared" ref="R32:T32" si="1">IF(R11=" "," ",IF(R31=" "," ",AVERAGE(R11:R30)))</f>
        <v/>
      </c>
      <c r="S32" s="51" t="str">
        <f t="shared" si="1"/>
        <v/>
      </c>
      <c r="T32" s="51" t="str">
        <f t="shared" si="1"/>
        <v/>
      </c>
    </row>
    <row r="33" spans="1:20">
      <c r="A33" s="50" t="s">
        <v>47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 t="str">
        <f t="shared" ref="R33:T33" si="2">IF(R11=" "," ",IF(R31=" "," ",MAX(R11:R30)))</f>
        <v/>
      </c>
      <c r="S33" s="51" t="str">
        <f t="shared" si="2"/>
        <v/>
      </c>
      <c r="T33" s="51" t="str">
        <f t="shared" si="2"/>
        <v/>
      </c>
    </row>
    <row r="34" spans="1:20">
      <c r="A34" s="50" t="s">
        <v>48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 t="str">
        <f t="shared" ref="R34:T34" si="3">IF(R11=" "," ",IF(R31=" "," ",STDEV(R11:R30)))</f>
        <v/>
      </c>
      <c r="S34" s="51" t="str">
        <f t="shared" si="3"/>
        <v/>
      </c>
      <c r="T34" s="51" t="str">
        <f t="shared" si="3"/>
        <v/>
      </c>
    </row>
    <row r="35" spans="1:20">
      <c r="A35" s="52" t="s">
        <v>33</v>
      </c>
      <c r="B35" s="53"/>
      <c r="C35" s="53"/>
      <c r="D35" s="53"/>
      <c r="E35" s="53"/>
      <c r="F35" s="53"/>
      <c r="G35" s="53"/>
      <c r="H35" s="53"/>
      <c r="I35" s="53"/>
      <c r="J35" s="77"/>
      <c r="K35" s="77"/>
      <c r="L35" s="53"/>
      <c r="M35" s="53"/>
      <c r="N35" s="53"/>
      <c r="O35" s="53"/>
      <c r="P35" s="53"/>
      <c r="Q35" s="53"/>
      <c r="R35" s="89"/>
      <c r="S35" s="89"/>
      <c r="T35" s="89"/>
    </row>
    <row r="36" ht="15.6" spans="1:20">
      <c r="A36" s="54" t="s">
        <v>49</v>
      </c>
      <c r="B36" s="54"/>
      <c r="C36" s="54"/>
      <c r="D36" s="54"/>
      <c r="E36" s="54"/>
      <c r="F36" s="54"/>
      <c r="G36" s="54"/>
      <c r="H36" s="54"/>
      <c r="I36" s="54"/>
      <c r="J36" s="78"/>
      <c r="K36" s="78"/>
      <c r="L36" s="54"/>
      <c r="M36" s="54"/>
      <c r="N36" s="54"/>
      <c r="O36" s="54"/>
      <c r="P36" s="54"/>
      <c r="Q36" s="54"/>
      <c r="R36" s="90"/>
      <c r="S36" s="90"/>
      <c r="T36" s="91"/>
    </row>
  </sheetData>
  <mergeCells count="63">
    <mergeCell ref="Q1:R1"/>
    <mergeCell ref="S1:T1"/>
    <mergeCell ref="Q2:R2"/>
    <mergeCell ref="S2:T2"/>
    <mergeCell ref="Q3:R3"/>
    <mergeCell ref="S3:T3"/>
    <mergeCell ref="A4:B4"/>
    <mergeCell ref="J4:L4"/>
    <mergeCell ref="O4:P4"/>
    <mergeCell ref="A5:B5"/>
    <mergeCell ref="J5:L5"/>
    <mergeCell ref="O5:P5"/>
    <mergeCell ref="F11:G11"/>
    <mergeCell ref="H11:I11"/>
    <mergeCell ref="F12:G12"/>
    <mergeCell ref="H12:I12"/>
    <mergeCell ref="F13:G13"/>
    <mergeCell ref="H13:I13"/>
    <mergeCell ref="F14:G14"/>
    <mergeCell ref="H14:I14"/>
    <mergeCell ref="F15:G15"/>
    <mergeCell ref="H15:I15"/>
    <mergeCell ref="A7:A8"/>
    <mergeCell ref="A9:A10"/>
    <mergeCell ref="B6:B8"/>
    <mergeCell ref="B9:B10"/>
    <mergeCell ref="C6:C7"/>
    <mergeCell ref="C9:C10"/>
    <mergeCell ref="D6:D8"/>
    <mergeCell ref="D9:D10"/>
    <mergeCell ref="E6:E7"/>
    <mergeCell ref="E9:E10"/>
    <mergeCell ref="J9:J10"/>
    <mergeCell ref="K9:K10"/>
    <mergeCell ref="L6:L8"/>
    <mergeCell ref="L9:L10"/>
    <mergeCell ref="M6:M8"/>
    <mergeCell ref="M9:M10"/>
    <mergeCell ref="N6:N8"/>
    <mergeCell ref="N9:N10"/>
    <mergeCell ref="O6:O8"/>
    <mergeCell ref="O9:O10"/>
    <mergeCell ref="P6:P8"/>
    <mergeCell ref="P9:P10"/>
    <mergeCell ref="Q6:Q8"/>
    <mergeCell ref="Q9:Q10"/>
    <mergeCell ref="R6:R8"/>
    <mergeCell ref="R9:R10"/>
    <mergeCell ref="S6:S8"/>
    <mergeCell ref="S9:S10"/>
    <mergeCell ref="T6:T8"/>
    <mergeCell ref="T9:T10"/>
    <mergeCell ref="A1:C3"/>
    <mergeCell ref="D1:P3"/>
    <mergeCell ref="C4:E5"/>
    <mergeCell ref="F4:I5"/>
    <mergeCell ref="M4:N5"/>
    <mergeCell ref="Q4:T5"/>
    <mergeCell ref="J6:K7"/>
    <mergeCell ref="F6:G8"/>
    <mergeCell ref="H6:I8"/>
    <mergeCell ref="F9:G10"/>
    <mergeCell ref="H9:I10"/>
  </mergeCells>
  <conditionalFormatting sqref="G16:G21">
    <cfRule type="cellIs" dxfId="0" priority="1" stopIfTrue="1" operator="lessThan">
      <formula>55</formula>
    </cfRule>
  </conditionalFormatting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VNDC-IT-D0158</dc:creator>
  <cp:lastModifiedBy>Đức Phan</cp:lastModifiedBy>
  <dcterms:created xsi:type="dcterms:W3CDTF">2024-10-19T01:09:00Z</dcterms:created>
  <dcterms:modified xsi:type="dcterms:W3CDTF">2025-09-17T03:32:26Z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6E4E709111324634952FAAAE4C35F4E6_13</vt:lpwstr>
  </property>
  <property fmtid="{D5CDD505-2E9C-101B-9397-08002B2CF9AE}" pid="3" name="KSOProductBuildVer">
    <vt:lpwstr>1033-12.2.0.22549</vt:lpwstr>
  </property>
</Properties>
</file>