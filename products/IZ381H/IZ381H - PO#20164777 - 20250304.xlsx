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00"/>
  </bookViews>
  <sheets>
    <sheet name="Data record" sheetId="2" r:id="rId1"/>
  </sheets>
  <externalReferences>
    <externalReference r:id="rId2"/>
    <externalReference r:id="rId3"/>
  </externalReferences>
  <definedNames>
    <definedName name="_______Huifang_Ma，Dike">#REF!</definedName>
    <definedName name="Appearance" localSheetId="0">#REF!</definedName>
    <definedName name="Assembly" localSheetId="0">#REF!</definedName>
    <definedName name="DCC">#REF!</definedName>
    <definedName name="Defect_Class">#REF!</definedName>
    <definedName name="Defect_Class_China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HV372_Product_Pic_Inf" localSheetId="0">#REF!</definedName>
    <definedName name="LineNo." localSheetId="0">#REF!</definedName>
    <definedName name="Mean__vừa" localSheetId="0">#REF!</definedName>
    <definedName name="Performance" localSheetId="0">#REF!</definedName>
    <definedName name="Production_Line">#REF!</definedName>
    <definedName name="q">'[2]defect code'!$C:$C</definedName>
    <definedName name="Safety" localSheetId="0">#REF!</definedName>
    <definedName name="Vacuum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<sst xmlns="http://schemas.openxmlformats.org/spreadsheetml/2006/main" count="54" uniqueCount="40">
  <si>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Pre-Shipment Inspection Data Record For Cordless</t>
  </si>
  <si>
    <t>Model No.:</t>
  </si>
  <si>
    <t>IZ381H</t>
  </si>
  <si>
    <t>Report No.:</t>
  </si>
  <si>
    <r>
      <rPr>
        <b/>
        <sz val="12"/>
        <rFont val="Times New Roman"/>
        <charset val="134"/>
      </rPr>
      <t xml:space="preserve">Inspected By: </t>
    </r>
    <r>
      <rPr>
        <sz val="12"/>
        <rFont val="Times New Roman"/>
        <charset val="134"/>
      </rPr>
      <t>Ngọc Hà / Minh Trung</t>
    </r>
  </si>
  <si>
    <r>
      <rPr>
        <b/>
        <sz val="12"/>
        <rFont val="Times New Roman"/>
        <charset val="134"/>
      </rPr>
      <t>Date:</t>
    </r>
    <r>
      <rPr>
        <sz val="12"/>
        <rFont val="Times New Roman"/>
        <charset val="134"/>
      </rPr>
      <t xml:space="preserve"> 2025.03.04</t>
    </r>
  </si>
  <si>
    <t>Item</t>
  </si>
  <si>
    <r>
      <rPr>
        <sz val="10"/>
        <rFont val="Times New Roman"/>
        <charset val="134"/>
      </rPr>
      <t xml:space="preserve">Barcode # 
</t>
    </r>
    <r>
      <rPr>
        <sz val="10"/>
        <rFont val="Aptos Narrow"/>
        <charset val="134"/>
      </rPr>
      <t>二维码</t>
    </r>
  </si>
  <si>
    <t>The charger Hi-pot Test (P/F)
PSI room</t>
  </si>
  <si>
    <t>Air Watts/ Air Flow
Lab</t>
  </si>
  <si>
    <t>Brushroll rotation 
RPM (low speed)
Lab</t>
  </si>
  <si>
    <t>Brushroll rotation RPM(hi speed)
Lab</t>
  </si>
  <si>
    <t>Air Watts 
Lab</t>
  </si>
  <si>
    <t>Noise (dBA)
Lab</t>
  </si>
  <si>
    <t>Drop test   (P/F)
Lab</t>
  </si>
  <si>
    <t>Remark:</t>
  </si>
  <si>
    <t>Hand vac BOOST mode Air Watts (AW)</t>
  </si>
  <si>
    <t>Hand Vac BOOST mode 
Air Flow (CFM)</t>
  </si>
  <si>
    <r>
      <rPr>
        <sz val="10"/>
        <rFont val="Times New Roman"/>
        <charset val="134"/>
      </rPr>
      <t xml:space="preserve">Whole machine BOOST Mode, Carpet, Air Watts </t>
    </r>
    <r>
      <rPr>
        <sz val="10"/>
        <rFont val="Aptos Narrow"/>
        <charset val="134"/>
      </rPr>
      <t>（</t>
    </r>
    <r>
      <rPr>
        <sz val="10"/>
        <rFont val="Times New Roman"/>
        <charset val="134"/>
      </rPr>
      <t>End of Nozzle) (AW)</t>
    </r>
  </si>
  <si>
    <t xml:space="preserve">                         Spec
  No.</t>
  </si>
  <si>
    <t>2500V 10mA 1s</t>
  </si>
  <si>
    <t>≥71.5</t>
  </si>
  <si>
    <t>≥17.5</t>
  </si>
  <si>
    <t>(1300 ± 400) 
900- 1700</t>
  </si>
  <si>
    <t>(2600 ± 400)
2200- 3000</t>
  </si>
  <si>
    <t>≥26</t>
  </si>
  <si>
    <t>≤85</t>
  </si>
  <si>
    <t>97cm</t>
  </si>
  <si>
    <t>H03ZX508A0R6</t>
  </si>
  <si>
    <t>P</t>
  </si>
  <si>
    <t>\</t>
  </si>
  <si>
    <t>H03ZX508A0R3</t>
  </si>
  <si>
    <t>H03ZX508A0R5</t>
  </si>
  <si>
    <t>H03ZX508A0R4</t>
  </si>
  <si>
    <t>H03ZX508A0S4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</si>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</sst>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0.00_);[Red]\(0.00\)"/>
    <numFmt numFmtId="180" formatCode="0.00_ "/>
  </numFmts>
  <fonts count="40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name val="宋体"/>
      <charset val="134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6"/>
    </font>
    <font>
      <b/>
      <sz val="12"/>
      <name val="Times New Roman"/>
      <charset val="134"/>
    </font>
    <font>
      <sz val="12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1"/>
      <name val="Times New Roman"/>
      <charset val="134"/>
    </font>
    <font>
      <sz val="11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2"/>
      <name val="新細明體"/>
      <charset val="136"/>
    </font>
    <font>
      <sz val="10"/>
      <name val="Aptos Narrow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/>
      <top style="thin">
        <color indexed="8"/>
      </top>
      <bottom/>
      <diagonal style="thin">
        <color auto="1"/>
      </diagonal>
    </border>
    <border diagonalDown="1">
      <left style="medium">
        <color auto="1"/>
      </left>
      <right/>
      <top/>
      <bottom style="thin">
        <color indexed="8"/>
      </bottom>
      <diagonal style="thin">
        <color auto="1"/>
      </diagonal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8" borderId="30" applyNumberFormat="0" applyAlignment="0" applyProtection="0">
      <alignment vertical="center"/>
    </xf>
    <xf numFmtId="0" fontId="29" fillId="9" borderId="32" applyNumberFormat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/>
    <xf numFmtId="0" fontId="38" fillId="0" borderId="0"/>
    <xf numFmtId="0" fontId="38" fillId="0" borderId="0"/>
    <xf numFmtId="0" fontId="2" fillId="0" borderId="0"/>
  </cellStyleXfs>
  <cellXfs count="73">
    <xf numFmtId="0" fontId="0" fillId="0" borderId="0" xfId="0">
      <alignment vertical="center"/>
    </xf>
    <xf numFmtId="0" fontId="1" fillId="0" borderId="0" xfId="52" applyFont="1"/>
    <xf numFmtId="0" fontId="2" fillId="0" borderId="0" xfId="52"/>
    <xf numFmtId="178" fontId="2" fillId="0" borderId="0" xfId="52" applyNumberFormat="1"/>
    <xf numFmtId="179" fontId="2" fillId="0" borderId="0" xfId="52" applyNumberFormat="1"/>
    <xf numFmtId="0" fontId="3" fillId="0" borderId="0" xfId="51" applyFont="1" applyAlignment="1">
      <alignment horizontal="center"/>
    </xf>
    <xf numFmtId="0" fontId="4" fillId="0" borderId="0" xfId="51" applyFont="1" applyAlignment="1">
      <alignment horizontal="center" vertical="center"/>
    </xf>
    <xf numFmtId="0" fontId="5" fillId="0" borderId="0" xfId="51" applyFont="1" applyAlignment="1">
      <alignment horizontal="center"/>
    </xf>
    <xf numFmtId="0" fontId="6" fillId="0" borderId="1" xfId="51" applyFont="1" applyBorder="1" applyAlignment="1">
      <alignment horizontal="left" vertical="center"/>
    </xf>
    <xf numFmtId="0" fontId="7" fillId="0" borderId="2" xfId="51" applyFont="1" applyBorder="1" applyAlignment="1" applyProtection="1">
      <alignment horizontal="center" vertical="center" wrapText="1"/>
      <protection locked="0"/>
    </xf>
    <xf numFmtId="0" fontId="7" fillId="0" borderId="3" xfId="51" applyFont="1" applyBorder="1" applyAlignment="1" applyProtection="1">
      <alignment horizontal="center" vertical="center" wrapText="1"/>
      <protection locked="0"/>
    </xf>
    <xf numFmtId="0" fontId="8" fillId="0" borderId="2" xfId="51" applyFont="1" applyBorder="1" applyAlignment="1" applyProtection="1">
      <alignment vertical="center" wrapText="1"/>
      <protection locked="0"/>
    </xf>
    <xf numFmtId="0" fontId="8" fillId="0" borderId="4" xfId="51" applyFont="1" applyBorder="1" applyAlignment="1" applyProtection="1">
      <alignment horizontal="center" vertical="center" wrapText="1"/>
      <protection locked="0"/>
    </xf>
    <xf numFmtId="0" fontId="6" fillId="0" borderId="2" xfId="51" applyFont="1" applyBorder="1" applyAlignment="1">
      <alignment horizontal="center" vertical="center"/>
    </xf>
    <xf numFmtId="0" fontId="6" fillId="0" borderId="3" xfId="51" applyFont="1" applyBorder="1" applyAlignment="1">
      <alignment horizontal="center" vertical="center"/>
    </xf>
    <xf numFmtId="0" fontId="9" fillId="0" borderId="5" xfId="51" applyFont="1" applyBorder="1" applyAlignment="1">
      <alignment horizontal="center" vertical="center" wrapText="1"/>
    </xf>
    <xf numFmtId="0" fontId="9" fillId="0" borderId="6" xfId="50" applyFont="1" applyBorder="1" applyAlignment="1">
      <alignment horizontal="center" vertical="center" wrapText="1"/>
    </xf>
    <xf numFmtId="0" fontId="9" fillId="0" borderId="6" xfId="51" applyFont="1" applyBorder="1" applyAlignment="1" applyProtection="1">
      <alignment horizontal="center" vertical="center" wrapText="1"/>
      <protection locked="0"/>
    </xf>
    <xf numFmtId="178" fontId="9" fillId="0" borderId="7" xfId="51" applyNumberFormat="1" applyFont="1" applyBorder="1" applyAlignment="1" applyProtection="1">
      <alignment horizontal="center" vertical="center" wrapText="1"/>
      <protection locked="0"/>
    </xf>
    <xf numFmtId="178" fontId="9" fillId="0" borderId="8" xfId="51" applyNumberFormat="1" applyFont="1" applyBorder="1" applyAlignment="1" applyProtection="1">
      <alignment horizontal="center" vertical="center" wrapText="1"/>
      <protection locked="0"/>
    </xf>
    <xf numFmtId="178" fontId="9" fillId="0" borderId="9" xfId="51" applyNumberFormat="1" applyFont="1" applyBorder="1" applyAlignment="1" applyProtection="1">
      <alignment horizontal="center" vertical="center" wrapText="1"/>
      <protection locked="0"/>
    </xf>
    <xf numFmtId="178" fontId="9" fillId="0" borderId="6" xfId="51" applyNumberFormat="1" applyFont="1" applyBorder="1" applyAlignment="1" applyProtection="1">
      <alignment horizontal="center" vertical="center" wrapText="1"/>
      <protection locked="0"/>
    </xf>
    <xf numFmtId="179" fontId="9" fillId="0" borderId="10" xfId="51" applyNumberFormat="1" applyFont="1" applyBorder="1" applyAlignment="1" applyProtection="1">
      <alignment horizontal="center" vertical="center" wrapText="1"/>
      <protection locked="0"/>
    </xf>
    <xf numFmtId="0" fontId="9" fillId="0" borderId="11" xfId="51" applyFont="1" applyBorder="1" applyAlignment="1">
      <alignment horizontal="center" vertical="center" wrapText="1"/>
    </xf>
    <xf numFmtId="179" fontId="9" fillId="0" borderId="9" xfId="51" applyNumberFormat="1" applyFont="1" applyBorder="1" applyAlignment="1" applyProtection="1">
      <alignment horizontal="center" vertical="center" wrapText="1"/>
      <protection locked="0"/>
    </xf>
    <xf numFmtId="0" fontId="9" fillId="0" borderId="12" xfId="51" applyFont="1" applyBorder="1" applyAlignment="1">
      <alignment horizontal="center" vertical="center" wrapText="1"/>
    </xf>
    <xf numFmtId="0" fontId="9" fillId="0" borderId="13" xfId="51" applyFont="1" applyBorder="1" applyAlignment="1" applyProtection="1">
      <alignment horizontal="center" vertical="center" wrapText="1"/>
      <protection locked="0"/>
    </xf>
    <xf numFmtId="178" fontId="9" fillId="0" borderId="13" xfId="51" applyNumberFormat="1" applyFont="1" applyBorder="1" applyAlignment="1" applyProtection="1">
      <alignment horizontal="center" vertical="center" wrapText="1"/>
      <protection locked="0"/>
    </xf>
    <xf numFmtId="179" fontId="9" fillId="0" borderId="13" xfId="51" applyNumberFormat="1" applyFont="1" applyBorder="1" applyAlignment="1" applyProtection="1">
      <alignment horizontal="center" vertical="center" wrapText="1"/>
      <protection locked="0"/>
    </xf>
    <xf numFmtId="0" fontId="9" fillId="0" borderId="14" xfId="51" applyFont="1" applyBorder="1" applyAlignment="1">
      <alignment horizontal="left" vertical="center" wrapText="1"/>
    </xf>
    <xf numFmtId="0" fontId="10" fillId="2" borderId="9" xfId="51" applyFont="1" applyFill="1" applyBorder="1" applyAlignment="1" applyProtection="1">
      <alignment horizontal="center" vertical="center" wrapText="1"/>
      <protection locked="0"/>
    </xf>
    <xf numFmtId="178" fontId="10" fillId="2" borderId="9" xfId="50" applyNumberFormat="1" applyFont="1" applyFill="1" applyBorder="1" applyAlignment="1" applyProtection="1">
      <alignment horizontal="center" vertical="center"/>
      <protection locked="0"/>
    </xf>
    <xf numFmtId="178" fontId="10" fillId="2" borderId="9" xfId="50" applyNumberFormat="1" applyFont="1" applyFill="1" applyBorder="1" applyAlignment="1" applyProtection="1">
      <alignment horizontal="center" vertical="center" wrapText="1"/>
      <protection locked="0"/>
    </xf>
    <xf numFmtId="0" fontId="9" fillId="0" borderId="15" xfId="51" applyFont="1" applyBorder="1" applyAlignment="1">
      <alignment horizontal="left" vertical="center"/>
    </xf>
    <xf numFmtId="0" fontId="9" fillId="0" borderId="13" xfId="50" applyFont="1" applyBorder="1" applyAlignment="1">
      <alignment horizontal="center" vertical="center" wrapText="1"/>
    </xf>
    <xf numFmtId="0" fontId="10" fillId="2" borderId="13" xfId="51" applyFont="1" applyFill="1" applyBorder="1" applyAlignment="1" applyProtection="1">
      <alignment horizontal="center" vertical="center" wrapText="1"/>
      <protection locked="0"/>
    </xf>
    <xf numFmtId="178" fontId="10" fillId="2" borderId="13" xfId="50" applyNumberFormat="1" applyFont="1" applyFill="1" applyBorder="1" applyAlignment="1" applyProtection="1">
      <alignment horizontal="center" vertical="center"/>
      <protection locked="0"/>
    </xf>
    <xf numFmtId="178" fontId="10" fillId="2" borderId="13" xfId="50" applyNumberFormat="1" applyFont="1" applyFill="1" applyBorder="1" applyAlignment="1" applyProtection="1">
      <alignment horizontal="center" vertical="center" wrapText="1"/>
      <protection locked="0"/>
    </xf>
    <xf numFmtId="0" fontId="9" fillId="0" borderId="16" xfId="51" applyFont="1" applyBorder="1" applyAlignment="1">
      <alignment horizontal="center"/>
    </xf>
    <xf numFmtId="0" fontId="11" fillId="0" borderId="5" xfId="49" applyFont="1" applyBorder="1" applyAlignment="1">
      <alignment horizontal="center" vertical="center"/>
    </xf>
    <xf numFmtId="180" fontId="10" fillId="0" borderId="5" xfId="50" applyNumberFormat="1" applyFont="1" applyBorder="1" applyAlignment="1" applyProtection="1">
      <alignment horizontal="center" vertical="center"/>
      <protection locked="0"/>
    </xf>
    <xf numFmtId="0" fontId="9" fillId="0" borderId="5" xfId="49" applyFont="1" applyBorder="1" applyAlignment="1">
      <alignment horizontal="center" vertical="center"/>
    </xf>
    <xf numFmtId="0" fontId="9" fillId="0" borderId="17" xfId="49" applyFont="1" applyBorder="1" applyAlignment="1">
      <alignment horizontal="center" vertical="center"/>
    </xf>
    <xf numFmtId="0" fontId="12" fillId="0" borderId="5" xfId="49" applyFont="1" applyBorder="1" applyAlignment="1">
      <alignment horizontal="center"/>
    </xf>
    <xf numFmtId="180" fontId="13" fillId="0" borderId="5" xfId="50" applyNumberFormat="1" applyFont="1" applyBorder="1" applyAlignment="1" applyProtection="1">
      <alignment horizontal="center" vertical="center"/>
      <protection locked="0"/>
    </xf>
    <xf numFmtId="0" fontId="12" fillId="0" borderId="5" xfId="49" applyFont="1" applyBorder="1" applyAlignment="1">
      <alignment horizontal="center" vertical="center"/>
    </xf>
    <xf numFmtId="0" fontId="13" fillId="0" borderId="5" xfId="49" applyFont="1" applyBorder="1" applyAlignment="1">
      <alignment horizontal="center" vertical="center"/>
    </xf>
    <xf numFmtId="0" fontId="13" fillId="0" borderId="17" xfId="49" applyFont="1" applyBorder="1" applyAlignment="1">
      <alignment horizontal="center" vertical="center"/>
    </xf>
    <xf numFmtId="179" fontId="14" fillId="3" borderId="5" xfId="51" applyNumberFormat="1" applyFont="1" applyFill="1" applyBorder="1" applyAlignment="1" applyProtection="1">
      <alignment horizontal="center" vertical="center"/>
      <protection locked="0"/>
    </xf>
    <xf numFmtId="179" fontId="13" fillId="3" borderId="5" xfId="50" applyNumberFormat="1" applyFont="1" applyFill="1" applyBorder="1" applyAlignment="1" applyProtection="1">
      <alignment horizontal="center" vertical="center"/>
      <protection locked="0"/>
    </xf>
    <xf numFmtId="0" fontId="15" fillId="4" borderId="18" xfId="51" applyFont="1" applyFill="1" applyBorder="1" applyAlignment="1">
      <alignment horizontal="center"/>
    </xf>
    <xf numFmtId="0" fontId="16" fillId="4" borderId="17" xfId="51" applyFont="1" applyFill="1" applyBorder="1" applyAlignment="1">
      <alignment horizontal="center"/>
    </xf>
    <xf numFmtId="2" fontId="16" fillId="5" borderId="5" xfId="51" applyNumberFormat="1" applyFont="1" applyFill="1" applyBorder="1" applyAlignment="1">
      <alignment horizontal="center" vertical="center"/>
    </xf>
    <xf numFmtId="1" fontId="16" fillId="5" borderId="5" xfId="51" applyNumberFormat="1" applyFont="1" applyFill="1" applyBorder="1" applyAlignment="1">
      <alignment horizontal="center" vertical="center"/>
    </xf>
    <xf numFmtId="0" fontId="16" fillId="0" borderId="19" xfId="51" applyFont="1" applyBorder="1"/>
    <xf numFmtId="0" fontId="16" fillId="0" borderId="20" xfId="51" applyFont="1" applyBorder="1"/>
    <xf numFmtId="0" fontId="16" fillId="0" borderId="20" xfId="51" applyFont="1" applyBorder="1" applyProtection="1">
      <protection locked="0"/>
    </xf>
    <xf numFmtId="178" fontId="16" fillId="0" borderId="20" xfId="51" applyNumberFormat="1" applyFont="1" applyBorder="1" applyProtection="1">
      <protection locked="0"/>
    </xf>
    <xf numFmtId="179" fontId="16" fillId="0" borderId="20" xfId="51" applyNumberFormat="1" applyFont="1" applyBorder="1" applyProtection="1">
      <protection locked="0"/>
    </xf>
    <xf numFmtId="0" fontId="17" fillId="0" borderId="0" xfId="51" applyFont="1"/>
    <xf numFmtId="0" fontId="1" fillId="0" borderId="0" xfId="51" applyFont="1"/>
    <xf numFmtId="178" fontId="1" fillId="0" borderId="0" xfId="51" applyNumberFormat="1" applyFont="1"/>
    <xf numFmtId="179" fontId="1" fillId="0" borderId="0" xfId="51" applyNumberFormat="1" applyFont="1"/>
    <xf numFmtId="0" fontId="6" fillId="3" borderId="2" xfId="51" applyFont="1" applyFill="1" applyBorder="1" applyAlignment="1" applyProtection="1">
      <alignment vertical="center"/>
      <protection locked="0"/>
    </xf>
    <xf numFmtId="0" fontId="7" fillId="3" borderId="3" xfId="51" applyFont="1" applyFill="1" applyBorder="1" applyAlignment="1" applyProtection="1">
      <alignment vertical="center"/>
      <protection locked="0"/>
    </xf>
    <xf numFmtId="0" fontId="9" fillId="0" borderId="21" xfId="51" applyFont="1" applyBorder="1" applyAlignment="1" applyProtection="1">
      <alignment horizontal="center" vertical="center" wrapText="1"/>
      <protection locked="0"/>
    </xf>
    <xf numFmtId="0" fontId="10" fillId="2" borderId="22" xfId="50" applyFont="1" applyFill="1" applyBorder="1" applyAlignment="1" applyProtection="1">
      <alignment horizontal="center" vertical="center"/>
      <protection locked="0"/>
    </xf>
    <xf numFmtId="0" fontId="10" fillId="2" borderId="23" xfId="51" applyFont="1" applyFill="1" applyBorder="1" applyAlignment="1" applyProtection="1">
      <alignment horizontal="center" vertical="center"/>
      <protection locked="0"/>
    </xf>
    <xf numFmtId="0" fontId="10" fillId="2" borderId="6" xfId="50" applyFont="1" applyFill="1" applyBorder="1" applyAlignment="1" applyProtection="1">
      <alignment horizontal="center" vertical="center"/>
      <protection locked="0"/>
    </xf>
    <xf numFmtId="0" fontId="10" fillId="2" borderId="24" xfId="51" applyFont="1" applyFill="1" applyBorder="1" applyAlignment="1" applyProtection="1">
      <alignment horizontal="center" vertical="center"/>
      <protection locked="0"/>
    </xf>
    <xf numFmtId="0" fontId="13" fillId="0" borderId="25" xfId="51" applyFont="1" applyBorder="1" applyProtection="1">
      <protection locked="0"/>
    </xf>
    <xf numFmtId="179" fontId="16" fillId="0" borderId="26" xfId="51" applyNumberFormat="1" applyFont="1" applyBorder="1" applyProtection="1">
      <protection locked="0"/>
    </xf>
    <xf numFmtId="0" fontId="16" fillId="0" borderId="26" xfId="51" applyFont="1" applyBorder="1" applyProtection="1">
      <protection locked="0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一般_吸塵器測試數據表 2 2" xfId="50"/>
    <cellStyle name="一般_吸塵器測試數據表 2 2 2" xfId="51"/>
    <cellStyle name="常规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C1" sqref="C1:J2"/>
    </sheetView>
  </sheetViews>
  <sheetFormatPr defaultColWidth="10.3362831858407" defaultRowHeight="15.75"/>
  <cols>
    <col min="1" max="1" width="16.6637168141593" style="2" customWidth="1"/>
    <col min="2" max="2" width="15.5044247787611" style="2" customWidth="1"/>
    <col min="3" max="3" width="11" style="2" customWidth="1"/>
    <col min="4" max="4" width="11.6637168141593" style="3" customWidth="1"/>
    <col min="5" max="5" width="17.6637168141593" style="3" customWidth="1"/>
    <col min="6" max="6" width="19.1681415929204" style="3" customWidth="1"/>
    <col min="7" max="7" width="17.8318584070796" style="3" customWidth="1"/>
    <col min="8" max="8" width="31.1681415929204" style="4" customWidth="1"/>
    <col min="9" max="9" width="11" style="4" customWidth="1"/>
    <col min="10" max="10" width="11" style="2" customWidth="1"/>
    <col min="11" max="16384" width="10.3362831858407" style="2"/>
  </cols>
  <sheetData>
    <row r="1" ht="22.5" customHeight="1" spans="1:10">
      <c r="A1" s="5"/>
      <c r="B1" s="5"/>
      <c r="C1" s="6" t="s">
        <v>0</v>
      </c>
      <c r="D1" s="6"/>
      <c r="E1" s="6"/>
      <c r="F1" s="6"/>
      <c r="G1" s="6"/>
      <c r="H1" s="6"/>
      <c r="I1" s="6"/>
      <c r="J1" s="6"/>
    </row>
    <row r="2" ht="22.5" customHeight="1" spans="1:10">
      <c r="A2" s="7"/>
      <c r="B2" s="7"/>
      <c r="C2" s="6"/>
      <c r="D2" s="6"/>
      <c r="E2" s="6"/>
      <c r="F2" s="6"/>
      <c r="G2" s="6"/>
      <c r="H2" s="6"/>
      <c r="I2" s="6"/>
      <c r="J2" s="6"/>
    </row>
    <row r="3" customHeight="1" spans="1:10">
      <c r="A3" s="8" t="s">
        <v>1</v>
      </c>
      <c r="B3" s="9" t="s">
        <v>2</v>
      </c>
      <c r="C3" s="10"/>
      <c r="D3" s="11" t="s">
        <v>3</v>
      </c>
      <c r="E3" s="12">
        <v>20164777</v>
      </c>
      <c r="F3" s="12"/>
      <c r="G3" s="13" t="s">
        <v>4</v>
      </c>
      <c r="H3" s="14"/>
      <c r="I3" s="63" t="s">
        <v>5</v>
      </c>
      <c r="J3" s="64"/>
    </row>
    <row r="4" ht="61.5" customHeight="1" spans="1:10">
      <c r="A4" s="15" t="s">
        <v>6</v>
      </c>
      <c r="B4" s="16" t="s">
        <v>7</v>
      </c>
      <c r="C4" s="17" t="s">
        <v>8</v>
      </c>
      <c r="D4" s="18" t="s">
        <v>9</v>
      </c>
      <c r="E4" s="19"/>
      <c r="F4" s="20" t="s">
        <v>10</v>
      </c>
      <c r="G4" s="21" t="s">
        <v>11</v>
      </c>
      <c r="H4" s="22" t="s">
        <v>12</v>
      </c>
      <c r="I4" s="17" t="s">
        <v>13</v>
      </c>
      <c r="J4" s="17" t="s">
        <v>14</v>
      </c>
    </row>
    <row r="5" ht="14.25" customHeight="1" spans="1:10">
      <c r="A5" s="23" t="s">
        <v>15</v>
      </c>
      <c r="B5" s="16"/>
      <c r="C5" s="17"/>
      <c r="D5" s="20" t="s">
        <v>16</v>
      </c>
      <c r="E5" s="20" t="s">
        <v>17</v>
      </c>
      <c r="F5" s="21"/>
      <c r="G5" s="21"/>
      <c r="H5" s="24" t="s">
        <v>18</v>
      </c>
      <c r="I5" s="17"/>
      <c r="J5" s="17"/>
    </row>
    <row r="6" ht="59.25" customHeight="1" spans="1:10">
      <c r="A6" s="25"/>
      <c r="B6" s="16"/>
      <c r="C6" s="26"/>
      <c r="D6" s="27"/>
      <c r="E6" s="27"/>
      <c r="F6" s="27"/>
      <c r="G6" s="27"/>
      <c r="H6" s="28"/>
      <c r="I6" s="65"/>
      <c r="J6" s="65"/>
    </row>
    <row r="7" ht="16.5" customHeight="1" spans="1:10">
      <c r="A7" s="29" t="s">
        <v>19</v>
      </c>
      <c r="B7" s="16"/>
      <c r="C7" s="30" t="s">
        <v>20</v>
      </c>
      <c r="D7" s="31" t="s">
        <v>21</v>
      </c>
      <c r="E7" s="31" t="s">
        <v>22</v>
      </c>
      <c r="F7" s="32" t="s">
        <v>23</v>
      </c>
      <c r="G7" s="32" t="s">
        <v>24</v>
      </c>
      <c r="H7" s="31" t="s">
        <v>25</v>
      </c>
      <c r="I7" s="66" t="s">
        <v>26</v>
      </c>
      <c r="J7" s="67" t="s">
        <v>27</v>
      </c>
    </row>
    <row r="8" spans="1:10">
      <c r="A8" s="33"/>
      <c r="B8" s="34"/>
      <c r="C8" s="35"/>
      <c r="D8" s="36"/>
      <c r="E8" s="36"/>
      <c r="F8" s="37"/>
      <c r="G8" s="37"/>
      <c r="H8" s="36"/>
      <c r="I8" s="68"/>
      <c r="J8" s="69"/>
    </row>
    <row r="9" s="1" customFormat="1" spans="1:10">
      <c r="A9" s="38">
        <v>1</v>
      </c>
      <c r="B9" s="39" t="s">
        <v>28</v>
      </c>
      <c r="C9" s="40" t="s">
        <v>29</v>
      </c>
      <c r="D9" s="41">
        <v>89.42</v>
      </c>
      <c r="E9" s="42">
        <v>23.44</v>
      </c>
      <c r="F9" s="41">
        <v>1315</v>
      </c>
      <c r="G9" s="42">
        <v>2362</v>
      </c>
      <c r="H9" s="41">
        <v>34.64</v>
      </c>
      <c r="I9" s="39" t="s">
        <v>30</v>
      </c>
      <c r="J9" s="39" t="s">
        <v>30</v>
      </c>
    </row>
    <row r="10" s="1" customFormat="1" spans="1:10">
      <c r="A10" s="38">
        <v>2</v>
      </c>
      <c r="B10" s="39" t="s">
        <v>31</v>
      </c>
      <c r="C10" s="40" t="s">
        <v>29</v>
      </c>
      <c r="D10" s="41">
        <v>87.83</v>
      </c>
      <c r="E10" s="42">
        <v>24.19</v>
      </c>
      <c r="F10" s="41">
        <v>1305</v>
      </c>
      <c r="G10" s="42">
        <v>2523</v>
      </c>
      <c r="H10" s="41">
        <v>32.18</v>
      </c>
      <c r="I10" s="39" t="s">
        <v>30</v>
      </c>
      <c r="J10" s="39" t="s">
        <v>30</v>
      </c>
    </row>
    <row r="11" s="1" customFormat="1" spans="1:10">
      <c r="A11" s="38">
        <v>3</v>
      </c>
      <c r="B11" s="39" t="s">
        <v>32</v>
      </c>
      <c r="C11" s="40" t="s">
        <v>29</v>
      </c>
      <c r="D11" s="41">
        <v>87.09</v>
      </c>
      <c r="E11" s="42">
        <v>23.75</v>
      </c>
      <c r="F11" s="41">
        <v>1326</v>
      </c>
      <c r="G11" s="42">
        <v>2402</v>
      </c>
      <c r="H11" s="41">
        <v>33.92</v>
      </c>
      <c r="I11" s="39" t="s">
        <v>30</v>
      </c>
      <c r="J11" s="39" t="s">
        <v>30</v>
      </c>
    </row>
    <row r="12" s="1" customFormat="1" spans="1:10">
      <c r="A12" s="38">
        <v>4</v>
      </c>
      <c r="B12" s="39" t="s">
        <v>33</v>
      </c>
      <c r="C12" s="40" t="s">
        <v>29</v>
      </c>
      <c r="D12" s="41">
        <v>88.23</v>
      </c>
      <c r="E12" s="42">
        <v>23.96</v>
      </c>
      <c r="F12" s="41">
        <v>1291</v>
      </c>
      <c r="G12" s="42">
        <v>2580</v>
      </c>
      <c r="H12" s="41">
        <v>34.6</v>
      </c>
      <c r="I12" s="39" t="s">
        <v>30</v>
      </c>
      <c r="J12" s="39" t="s">
        <v>30</v>
      </c>
    </row>
    <row r="13" s="1" customFormat="1" spans="1:10">
      <c r="A13" s="38">
        <v>5</v>
      </c>
      <c r="B13" s="39" t="s">
        <v>34</v>
      </c>
      <c r="C13" s="40" t="s">
        <v>29</v>
      </c>
      <c r="D13" s="41">
        <v>87.16</v>
      </c>
      <c r="E13" s="42">
        <v>27.49</v>
      </c>
      <c r="F13" s="41">
        <v>1329</v>
      </c>
      <c r="G13" s="42">
        <v>2338</v>
      </c>
      <c r="H13" s="41">
        <v>34.27</v>
      </c>
      <c r="I13" s="39" t="s">
        <v>30</v>
      </c>
      <c r="J13" s="39" t="s">
        <v>30</v>
      </c>
    </row>
    <row r="14" s="1" customFormat="1" spans="1:10">
      <c r="A14" s="38">
        <v>6</v>
      </c>
      <c r="B14" s="43"/>
      <c r="C14" s="44"/>
      <c r="D14" s="39"/>
      <c r="E14" s="39"/>
      <c r="F14" s="41"/>
      <c r="G14" s="42"/>
      <c r="H14" s="41"/>
      <c r="I14" s="45"/>
      <c r="J14" s="45"/>
    </row>
    <row r="15" s="1" customFormat="1" spans="1:10">
      <c r="A15" s="38">
        <v>7</v>
      </c>
      <c r="B15" s="43"/>
      <c r="C15" s="44"/>
      <c r="D15" s="45"/>
      <c r="E15" s="39"/>
      <c r="F15" s="46"/>
      <c r="G15" s="47"/>
      <c r="H15" s="46"/>
      <c r="I15" s="45"/>
      <c r="J15" s="70"/>
    </row>
    <row r="16" s="1" customFormat="1" spans="1:10">
      <c r="A16" s="38">
        <v>8</v>
      </c>
      <c r="B16" s="43"/>
      <c r="C16" s="44"/>
      <c r="D16" s="45"/>
      <c r="E16" s="39"/>
      <c r="F16" s="46"/>
      <c r="G16" s="47"/>
      <c r="H16" s="46"/>
      <c r="I16" s="45"/>
      <c r="J16" s="70"/>
    </row>
    <row r="17" s="1" customFormat="1" spans="1:10">
      <c r="A17" s="38">
        <v>9</v>
      </c>
      <c r="B17" s="43"/>
      <c r="C17" s="44"/>
      <c r="D17" s="45"/>
      <c r="E17" s="39"/>
      <c r="F17" s="46"/>
      <c r="G17" s="47"/>
      <c r="H17" s="46"/>
      <c r="I17" s="45"/>
      <c r="J17" s="70"/>
    </row>
    <row r="18" s="1" customFormat="1" spans="1:10">
      <c r="A18" s="38">
        <v>10</v>
      </c>
      <c r="B18" s="43"/>
      <c r="C18" s="44"/>
      <c r="D18" s="45"/>
      <c r="E18" s="39"/>
      <c r="F18" s="46"/>
      <c r="G18" s="47"/>
      <c r="H18" s="46"/>
      <c r="I18" s="45"/>
      <c r="J18" s="70"/>
    </row>
    <row r="19" s="1" customFormat="1" spans="1:10">
      <c r="A19" s="38">
        <v>11</v>
      </c>
      <c r="B19" s="44"/>
      <c r="C19" s="44"/>
      <c r="D19" s="48"/>
      <c r="E19" s="48"/>
      <c r="F19" s="48"/>
      <c r="G19" s="49"/>
      <c r="H19" s="49"/>
      <c r="I19" s="49"/>
      <c r="J19" s="70"/>
    </row>
    <row r="20" s="1" customFormat="1" spans="1:10">
      <c r="A20" s="38">
        <v>12</v>
      </c>
      <c r="B20" s="44"/>
      <c r="C20" s="44"/>
      <c r="D20" s="48"/>
      <c r="E20" s="48"/>
      <c r="F20" s="48"/>
      <c r="G20" s="49"/>
      <c r="H20" s="49"/>
      <c r="I20" s="49"/>
      <c r="J20" s="70"/>
    </row>
    <row r="21" s="1" customFormat="1" spans="1:10">
      <c r="A21" s="38">
        <v>13</v>
      </c>
      <c r="B21" s="44"/>
      <c r="C21" s="44"/>
      <c r="D21" s="48"/>
      <c r="E21" s="48"/>
      <c r="F21" s="48"/>
      <c r="G21" s="49"/>
      <c r="H21" s="49"/>
      <c r="I21" s="49"/>
      <c r="J21" s="70"/>
    </row>
    <row r="22" s="1" customFormat="1" spans="1:10">
      <c r="A22" s="38">
        <v>14</v>
      </c>
      <c r="B22" s="44"/>
      <c r="C22" s="44"/>
      <c r="D22" s="48"/>
      <c r="E22" s="48"/>
      <c r="F22" s="48"/>
      <c r="G22" s="49"/>
      <c r="H22" s="49"/>
      <c r="I22" s="49"/>
      <c r="J22" s="70"/>
    </row>
    <row r="23" s="1" customFormat="1" spans="1:10">
      <c r="A23" s="38">
        <v>15</v>
      </c>
      <c r="B23" s="44"/>
      <c r="C23" s="44"/>
      <c r="D23" s="48"/>
      <c r="E23" s="48"/>
      <c r="F23" s="48"/>
      <c r="G23" s="49"/>
      <c r="H23" s="49"/>
      <c r="I23" s="49"/>
      <c r="J23" s="70"/>
    </row>
    <row r="24" s="1" customFormat="1" spans="1:10">
      <c r="A24" s="38">
        <v>16</v>
      </c>
      <c r="B24" s="44"/>
      <c r="C24" s="44"/>
      <c r="D24" s="48"/>
      <c r="E24" s="48"/>
      <c r="F24" s="48"/>
      <c r="G24" s="49"/>
      <c r="H24" s="49"/>
      <c r="I24" s="49"/>
      <c r="J24" s="70"/>
    </row>
    <row r="25" s="1" customFormat="1" spans="1:10">
      <c r="A25" s="38">
        <v>17</v>
      </c>
      <c r="B25" s="44"/>
      <c r="C25" s="44"/>
      <c r="D25" s="48"/>
      <c r="E25" s="48"/>
      <c r="F25" s="48"/>
      <c r="G25" s="49"/>
      <c r="H25" s="49"/>
      <c r="I25" s="49"/>
      <c r="J25" s="70"/>
    </row>
    <row r="26" s="1" customFormat="1" spans="1:10">
      <c r="A26" s="38">
        <v>18</v>
      </c>
      <c r="B26" s="44"/>
      <c r="C26" s="44"/>
      <c r="D26" s="48"/>
      <c r="E26" s="48"/>
      <c r="F26" s="48"/>
      <c r="G26" s="49"/>
      <c r="H26" s="49"/>
      <c r="I26" s="49"/>
      <c r="J26" s="70"/>
    </row>
    <row r="27" s="1" customFormat="1" spans="1:10">
      <c r="A27" s="38">
        <v>19</v>
      </c>
      <c r="B27" s="44"/>
      <c r="C27" s="44"/>
      <c r="D27" s="48"/>
      <c r="E27" s="48"/>
      <c r="F27" s="48"/>
      <c r="G27" s="49"/>
      <c r="H27" s="49"/>
      <c r="I27" s="49"/>
      <c r="J27" s="70"/>
    </row>
    <row r="28" s="1" customFormat="1" spans="1:10">
      <c r="A28" s="38">
        <v>20</v>
      </c>
      <c r="B28" s="44"/>
      <c r="C28" s="44"/>
      <c r="D28" s="48"/>
      <c r="E28" s="48"/>
      <c r="F28" s="48"/>
      <c r="G28" s="49"/>
      <c r="H28" s="49"/>
      <c r="I28" s="49"/>
      <c r="J28" s="70"/>
    </row>
    <row r="29" s="1" customFormat="1" spans="1:10">
      <c r="A29" s="50" t="s">
        <v>35</v>
      </c>
      <c r="B29" s="51"/>
      <c r="C29" s="52" t="str">
        <f t="shared" ref="C29:J29" si="0">IF(C9=" "," ",IF(MIN(C9:C28)=0," ",MIN(C9:C28)))</f>
        <v/>
      </c>
      <c r="D29" s="52">
        <f t="shared" si="0"/>
        <v>87.09</v>
      </c>
      <c r="E29" s="52">
        <f t="shared" si="0"/>
        <v>23.44</v>
      </c>
      <c r="F29" s="53">
        <f t="shared" si="0"/>
        <v>1291</v>
      </c>
      <c r="G29" s="53">
        <f t="shared" si="0"/>
        <v>2338</v>
      </c>
      <c r="H29" s="52">
        <f t="shared" si="0"/>
        <v>32.18</v>
      </c>
      <c r="I29" s="52" t="str">
        <f t="shared" si="0"/>
        <v/>
      </c>
      <c r="J29" s="52" t="str">
        <f t="shared" si="0"/>
        <v/>
      </c>
    </row>
    <row r="30" s="1" customFormat="1" spans="1:10">
      <c r="A30" s="50" t="s">
        <v>36</v>
      </c>
      <c r="B30" s="51"/>
      <c r="C30" s="52" t="str">
        <f t="shared" ref="C30:J30" si="1">IF(C9=" "," ",IF(C29=" "," ",AVERAGE(C9:C28)))</f>
        <v/>
      </c>
      <c r="D30" s="52">
        <f t="shared" si="1"/>
        <v>87.946</v>
      </c>
      <c r="E30" s="52">
        <f t="shared" si="1"/>
        <v>24.566</v>
      </c>
      <c r="F30" s="53">
        <f t="shared" si="1"/>
        <v>1313.2</v>
      </c>
      <c r="G30" s="53">
        <f t="shared" si="1"/>
        <v>2441</v>
      </c>
      <c r="H30" s="52">
        <f t="shared" si="1"/>
        <v>33.922</v>
      </c>
      <c r="I30" s="52" t="str">
        <f t="shared" si="1"/>
        <v/>
      </c>
      <c r="J30" s="52" t="str">
        <f t="shared" si="1"/>
        <v/>
      </c>
    </row>
    <row r="31" s="1" customFormat="1" spans="1:10">
      <c r="A31" s="50" t="s">
        <v>37</v>
      </c>
      <c r="B31" s="51"/>
      <c r="C31" s="52" t="str">
        <f t="shared" ref="C31:J31" si="2">IF(C9=" "," ",IF(C29=" "," ",MAX(C9:C28)))</f>
        <v/>
      </c>
      <c r="D31" s="52">
        <f t="shared" si="2"/>
        <v>89.42</v>
      </c>
      <c r="E31" s="52">
        <f t="shared" si="2"/>
        <v>27.49</v>
      </c>
      <c r="F31" s="53">
        <f t="shared" si="2"/>
        <v>1329</v>
      </c>
      <c r="G31" s="53">
        <f t="shared" si="2"/>
        <v>2580</v>
      </c>
      <c r="H31" s="52">
        <f t="shared" si="2"/>
        <v>34.64</v>
      </c>
      <c r="I31" s="52" t="str">
        <f t="shared" si="2"/>
        <v/>
      </c>
      <c r="J31" s="52" t="str">
        <f t="shared" si="2"/>
        <v/>
      </c>
    </row>
    <row r="32" s="1" customFormat="1" spans="1:10">
      <c r="A32" s="50" t="s">
        <v>38</v>
      </c>
      <c r="B32" s="51"/>
      <c r="C32" s="52" t="str">
        <f t="shared" ref="C32:J32" si="3">IF(C9=" "," ",IF(C29=" "," ",STDEV(C9:C28)))</f>
        <v/>
      </c>
      <c r="D32" s="52">
        <f t="shared" si="3"/>
        <v>0.950962670140107</v>
      </c>
      <c r="E32" s="52">
        <f t="shared" si="3"/>
        <v>1.65771831141482</v>
      </c>
      <c r="F32" s="52">
        <f t="shared" si="3"/>
        <v>15.626899884494</v>
      </c>
      <c r="G32" s="52">
        <f t="shared" si="3"/>
        <v>105.375518978556</v>
      </c>
      <c r="H32" s="52">
        <f t="shared" si="3"/>
        <v>1.01622832080197</v>
      </c>
      <c r="I32" s="52" t="str">
        <f t="shared" si="3"/>
        <v/>
      </c>
      <c r="J32" s="52" t="str">
        <f t="shared" si="3"/>
        <v/>
      </c>
    </row>
    <row r="33" s="1" customFormat="1" ht="16.5" spans="1:10">
      <c r="A33" s="54" t="s">
        <v>15</v>
      </c>
      <c r="B33" s="55"/>
      <c r="C33" s="56"/>
      <c r="D33" s="57"/>
      <c r="E33" s="57"/>
      <c r="F33" s="57"/>
      <c r="G33" s="57"/>
      <c r="H33" s="58"/>
      <c r="I33" s="71"/>
      <c r="J33" s="72"/>
    </row>
    <row r="34" s="1" customFormat="1" spans="1:10">
      <c r="A34" s="59" t="s">
        <v>39</v>
      </c>
      <c r="B34" s="59"/>
      <c r="C34" s="60"/>
      <c r="D34" s="61"/>
      <c r="E34" s="61"/>
      <c r="F34" s="61"/>
      <c r="G34" s="61"/>
      <c r="H34" s="62"/>
      <c r="I34" s="62"/>
      <c r="J34" s="60"/>
    </row>
  </sheetData>
  <mergeCells count="24">
    <mergeCell ref="B3:C3"/>
    <mergeCell ref="E3:F3"/>
    <mergeCell ref="G3:H3"/>
    <mergeCell ref="D4:E4"/>
    <mergeCell ref="A5:A6"/>
    <mergeCell ref="A7:A8"/>
    <mergeCell ref="B4:B8"/>
    <mergeCell ref="C4:C6"/>
    <mergeCell ref="C7:C8"/>
    <mergeCell ref="D5:D6"/>
    <mergeCell ref="D7:D8"/>
    <mergeCell ref="E5:E6"/>
    <mergeCell ref="E7:E8"/>
    <mergeCell ref="F4:F6"/>
    <mergeCell ref="F7:F8"/>
    <mergeCell ref="G4:G6"/>
    <mergeCell ref="G7:G8"/>
    <mergeCell ref="H5:H6"/>
    <mergeCell ref="H7:H8"/>
    <mergeCell ref="I4:I6"/>
    <mergeCell ref="I7:I8"/>
    <mergeCell ref="J4:J6"/>
    <mergeCell ref="J7:J8"/>
    <mergeCell ref="C1:J2"/>
  </mergeCells>
  <pageMargins left="0.7" right="0.7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DECHANG</dc:creator>
  <cp:lastModifiedBy>Sh1n</cp:lastModifiedBy>
  <dcterms:created xsi:type="dcterms:W3CDTF">2025-02-28T01:20:00Z</dcterms:created>
  <dcterms:modified xsi:type="dcterms:W3CDTF">2025-11-07T06:54:41Z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C1BB485549B94E54BD2737CFA138656F_11</vt:lpwstr>
  </property>
  <property fmtid="{D5CDD505-2E9C-101B-9397-08002B2CF9AE}" pid="3" name="KSOProductBuildVer">
    <vt:lpwstr>1033-12.2.0.23155</vt:lpwstr>
  </property>
</Properties>
</file>