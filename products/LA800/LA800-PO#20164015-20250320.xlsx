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LA8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<sst xmlns="http://schemas.openxmlformats.org/spreadsheetml/2006/main" count="138" uniqueCount="68">
  <si>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</si>
  <si>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</si>
  <si>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</si>
  <si>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</si>
  <si>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</si>
  <si>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</si>
  <si>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09-01-2022</t>
  </si>
  <si>
    <t>Mã sp</t>
  </si>
  <si>
    <t>LA800</t>
  </si>
  <si>
    <t>Số báo cáo</t>
  </si>
  <si>
    <t>NV kiểm tra</t>
  </si>
  <si>
    <t>Ngọc Hà</t>
  </si>
  <si>
    <t>Ngày tháng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</si>
  <si>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</si>
  <si>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</si>
  <si>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</si>
  <si>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</si>
  <si>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</si>
  <si>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</si>
  <si>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</si>
  <si>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</si>
  <si>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</si>
  <si>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</si>
  <si>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Brush Roll RPM – Free Spinning
High Setting</t>
  </si>
  <si>
    <t>Brush Roll RPM – Free Spinning
Low Setting</t>
  </si>
  <si>
    <t>Soft Roller RPM – Free Spinning
High Setting</t>
  </si>
  <si>
    <t>Soft Roller RPM – Free Spinning
Low Setting</t>
  </si>
  <si>
    <t>Air flow  (CFM)</t>
  </si>
  <si>
    <t>Noise (dBA)</t>
  </si>
  <si>
    <t>Strain relief test  (P/F)</t>
  </si>
  <si>
    <t>Screw Torque test (P/F)</t>
  </si>
  <si>
    <t>Handle strength test (P/F)</t>
  </si>
  <si>
    <t>Drop test   (P/F)</t>
  </si>
  <si>
    <t>Bleed valve test (P/F)</t>
  </si>
  <si>
    <t>Main unit air tightness test</t>
  </si>
  <si>
    <t>Flexible hose air tightness</t>
  </si>
  <si>
    <t>Dust cup air tightness test</t>
  </si>
  <si>
    <t>Remark:</t>
  </si>
  <si>
    <t>Open</t>
  </si>
  <si>
    <t>End of Hose</t>
  </si>
  <si>
    <t>Power Nozzle</t>
  </si>
  <si>
    <t>Sealed Hose</t>
  </si>
  <si>
    <t>Sealed Nozzle</t>
  </si>
  <si>
    <t>Barcode
Số tem</t>
  </si>
  <si>
    <t>\</t>
  </si>
  <si>
    <t>1500V 1mA</t>
  </si>
  <si>
    <t>≥72</t>
  </si>
  <si>
    <t>≥58</t>
  </si>
  <si>
    <t>≥180</t>
  </si>
  <si>
    <t>≥74</t>
  </si>
  <si>
    <t>2800-3400</t>
  </si>
  <si>
    <t>350-650</t>
  </si>
  <si>
    <t>1600-2000</t>
  </si>
  <si>
    <t>330-510</t>
  </si>
  <si>
    <t>≥50</t>
  </si>
  <si>
    <t>≥40</t>
  </si>
  <si>
    <t xml:space="preserve"> </t>
  </si>
  <si>
    <t>H17ZX505Z3S2</t>
  </si>
  <si>
    <t>P</t>
  </si>
  <si>
    <t>H18ZX505Z0K6</t>
  </si>
  <si>
    <t>H17ZX505Z3Z5</t>
  </si>
  <si>
    <t>H17ZX505Z3R3</t>
  </si>
  <si>
    <t>H17ZX505Z1S7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</si>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</sst>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_ "/>
    <numFmt numFmtId="180" formatCode="0_);[Red]\(0\)"/>
    <numFmt numFmtId="181" formatCode="dd\-mmm\-yy"/>
    <numFmt numFmtId="182" formatCode="0.0"/>
  </numFmts>
  <fonts count="40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Calibri"/>
      <charset val="134"/>
      <scheme val="minor"/>
    </font>
    <font>
      <b/>
      <sz val="9"/>
      <name val="新細明體"/>
      <charset val="136"/>
    </font>
    <font>
      <sz val="10"/>
      <color theme="1"/>
      <name val="Times New Roman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sz val="10"/>
      <name val="Calibri"/>
      <charset val="134"/>
      <scheme val="minor"/>
    </font>
    <font>
      <sz val="11"/>
      <name val="Times New Roman"/>
      <charset val="134"/>
    </font>
    <font>
      <b/>
      <sz val="10"/>
      <name val="Calibri"/>
      <charset val="134"/>
      <scheme val="minor"/>
    </font>
    <font>
      <u/>
      <sz val="12"/>
      <name val="新細明體"/>
      <charset val="134"/>
    </font>
    <font>
      <sz val="9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1" fillId="0" borderId="0"/>
    <xf numFmtId="0" fontId="0" fillId="0" borderId="0"/>
    <xf numFmtId="0" fontId="6" fillId="0" borderId="0"/>
    <xf numFmtId="0" fontId="3" fillId="0" borderId="0"/>
  </cellStyleXfs>
  <cellXfs count="73">
    <xf numFmtId="0" fontId="0" fillId="0" borderId="0" xfId="0"/>
    <xf numFmtId="0" fontId="1" fillId="0" borderId="0" xfId="49"/>
    <xf numFmtId="0" fontId="0" fillId="0" borderId="0" xfId="50"/>
    <xf numFmtId="178" fontId="0" fillId="0" borderId="0" xfId="50" applyNumberFormat="1"/>
    <xf numFmtId="0" fontId="1" fillId="0" borderId="1" xfId="49" applyBorder="1" applyAlignment="1">
      <alignment horizontal="center"/>
    </xf>
    <xf numFmtId="0" fontId="2" fillId="0" borderId="1" xfId="51" applyFont="1" applyBorder="1" applyAlignment="1">
      <alignment horizontal="center" vertical="center" wrapText="1"/>
    </xf>
    <xf numFmtId="0" fontId="3" fillId="0" borderId="1" xfId="51" applyFont="1" applyBorder="1" applyAlignment="1" applyProtection="1">
      <alignment horizontal="left" vertical="center"/>
    </xf>
    <xf numFmtId="0" fontId="4" fillId="0" borderId="1" xfId="51" applyFont="1" applyBorder="1" applyAlignment="1" applyProtection="1">
      <alignment horizontal="center" vertical="center"/>
    </xf>
    <xf numFmtId="0" fontId="4" fillId="0" borderId="1" xfId="51" applyFont="1" applyBorder="1" applyAlignment="1" applyProtection="1">
      <alignment horizontal="left" vertical="center"/>
    </xf>
    <xf numFmtId="0" fontId="5" fillId="0" borderId="1" xfId="51" applyFont="1" applyBorder="1" applyAlignment="1" applyProtection="1">
      <alignment horizontal="center" vertical="center"/>
    </xf>
    <xf numFmtId="0" fontId="6" fillId="0" borderId="1" xfId="51" applyBorder="1" applyAlignment="1">
      <alignment horizontal="left"/>
    </xf>
    <xf numFmtId="0" fontId="7" fillId="0" borderId="1" xfId="51" applyFont="1" applyBorder="1" applyAlignment="1">
      <alignment horizontal="center" vertical="center" wrapText="1"/>
    </xf>
    <xf numFmtId="0" fontId="7" fillId="0" borderId="1" xfId="51" applyFont="1" applyBorder="1" applyAlignment="1" applyProtection="1">
      <alignment horizontal="center" vertical="center" wrapText="1"/>
      <protection locked="0"/>
    </xf>
    <xf numFmtId="0" fontId="8" fillId="0" borderId="1" xfId="51" applyFont="1" applyBorder="1" applyAlignment="1" applyProtection="1">
      <alignment horizontal="center" vertical="center" wrapText="1"/>
      <protection locked="0"/>
    </xf>
    <xf numFmtId="0" fontId="5" fillId="0" borderId="1" xfId="51" applyFont="1" applyBorder="1" applyAlignment="1">
      <alignment horizontal="center" vertical="center" wrapText="1"/>
    </xf>
    <xf numFmtId="0" fontId="9" fillId="2" borderId="1" xfId="51" applyFont="1" applyFill="1" applyBorder="1" applyAlignment="1" applyProtection="1">
      <alignment horizontal="center" vertical="center"/>
      <protection locked="0"/>
    </xf>
    <xf numFmtId="0" fontId="10" fillId="2" borderId="1" xfId="51" applyFont="1" applyFill="1" applyBorder="1" applyAlignment="1" applyProtection="1">
      <alignment horizontal="center" vertical="center" wrapText="1"/>
      <protection locked="0"/>
    </xf>
    <xf numFmtId="0" fontId="5" fillId="0" borderId="1" xfId="51" applyFont="1" applyBorder="1" applyAlignment="1">
      <alignment horizontal="center" vertical="center"/>
    </xf>
    <xf numFmtId="0" fontId="11" fillId="0" borderId="1" xfId="5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5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0" fontId="14" fillId="0" borderId="1" xfId="51" applyFont="1" applyBorder="1" applyAlignment="1" applyProtection="1">
      <alignment horizontal="center" vertical="center"/>
      <protection locked="0"/>
    </xf>
    <xf numFmtId="179" fontId="12" fillId="0" borderId="1" xfId="0" applyNumberFormat="1" applyFont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/>
    </xf>
    <xf numFmtId="0" fontId="16" fillId="0" borderId="1" xfId="51" applyFont="1" applyBorder="1" applyAlignment="1">
      <alignment horizontal="center"/>
    </xf>
    <xf numFmtId="2" fontId="15" fillId="0" borderId="1" xfId="51" applyNumberFormat="1" applyFont="1" applyBorder="1" applyAlignment="1" applyProtection="1">
      <protection locked="0"/>
    </xf>
    <xf numFmtId="180" fontId="15" fillId="0" borderId="1" xfId="51" applyNumberFormat="1" applyFont="1" applyBorder="1" applyAlignment="1" applyProtection="1">
      <protection locked="0"/>
    </xf>
    <xf numFmtId="178" fontId="15" fillId="0" borderId="1" xfId="0" applyNumberFormat="1" applyFont="1" applyFill="1" applyBorder="1" applyAlignment="1">
      <alignment vertical="center"/>
    </xf>
    <xf numFmtId="0" fontId="17" fillId="0" borderId="1" xfId="51" applyFont="1" applyBorder="1" applyAlignment="1" applyProtection="1">
      <protection locked="0"/>
    </xf>
    <xf numFmtId="178" fontId="15" fillId="0" borderId="1" xfId="51" applyNumberFormat="1" applyFont="1" applyBorder="1" applyAlignment="1" applyProtection="1">
      <alignment vertical="center"/>
      <protection locked="0"/>
    </xf>
    <xf numFmtId="0" fontId="16" fillId="3" borderId="1" xfId="51" applyFont="1" applyFill="1" applyBorder="1" applyAlignment="1">
      <alignment horizontal="center"/>
    </xf>
    <xf numFmtId="2" fontId="16" fillId="4" borderId="1" xfId="51" applyNumberFormat="1" applyFont="1" applyFill="1" applyBorder="1" applyAlignment="1">
      <alignment vertical="center"/>
    </xf>
    <xf numFmtId="0" fontId="16" fillId="0" borderId="1" xfId="51" applyFont="1" applyBorder="1"/>
    <xf numFmtId="0" fontId="16" fillId="0" borderId="1" xfId="51" applyFont="1" applyBorder="1" applyProtection="1">
      <protection locked="0"/>
    </xf>
    <xf numFmtId="0" fontId="16" fillId="0" borderId="0" xfId="51" applyFont="1"/>
    <xf numFmtId="0" fontId="5" fillId="0" borderId="1" xfId="51" applyFont="1" applyBorder="1" applyAlignment="1" applyProtection="1">
      <alignment horizontal="center" vertical="center" wrapText="1"/>
      <protection locked="0"/>
    </xf>
    <xf numFmtId="178" fontId="18" fillId="0" borderId="1" xfId="51" applyNumberFormat="1" applyFont="1" applyBorder="1" applyAlignment="1">
      <alignment horizontal="left"/>
    </xf>
    <xf numFmtId="0" fontId="5" fillId="0" borderId="1" xfId="51" applyFont="1" applyBorder="1" applyAlignment="1" applyProtection="1">
      <alignment horizontal="center" vertical="center"/>
      <protection locked="0"/>
    </xf>
    <xf numFmtId="0" fontId="7" fillId="0" borderId="1" xfId="52" applyFont="1" applyBorder="1" applyAlignment="1" applyProtection="1">
      <alignment horizontal="center" vertical="center" wrapText="1"/>
      <protection locked="0"/>
    </xf>
    <xf numFmtId="178" fontId="7" fillId="0" borderId="1" xfId="51" applyNumberFormat="1" applyFont="1" applyBorder="1" applyAlignment="1" applyProtection="1">
      <alignment horizontal="center" vertical="center" wrapText="1"/>
      <protection locked="0"/>
    </xf>
    <xf numFmtId="0" fontId="7" fillId="0" borderId="1" xfId="51" applyFont="1" applyFill="1" applyBorder="1" applyAlignment="1" applyProtection="1">
      <alignment horizontal="center" vertical="center" wrapText="1"/>
      <protection locked="0"/>
    </xf>
    <xf numFmtId="178" fontId="9" fillId="2" borderId="1" xfId="51" applyNumberFormat="1" applyFont="1" applyFill="1" applyBorder="1" applyAlignment="1" applyProtection="1">
      <alignment horizontal="center" vertical="center"/>
      <protection locked="0"/>
    </xf>
    <xf numFmtId="179" fontId="0" fillId="0" borderId="1" xfId="0" applyNumberFormat="1" applyBorder="1" applyAlignment="1">
      <alignment horizontal="center"/>
    </xf>
    <xf numFmtId="178" fontId="15" fillId="0" borderId="1" xfId="52" applyNumberFormat="1" applyFont="1" applyBorder="1" applyAlignment="1" applyProtection="1">
      <alignment horizontal="center" vertical="center"/>
      <protection locked="0"/>
    </xf>
    <xf numFmtId="0" fontId="0" fillId="0" borderId="1" xfId="0" applyBorder="1"/>
    <xf numFmtId="178" fontId="15" fillId="0" borderId="1" xfId="52" applyNumberFormat="1" applyFont="1" applyBorder="1" applyAlignment="1" applyProtection="1">
      <alignment vertical="center"/>
      <protection locked="0"/>
    </xf>
    <xf numFmtId="178" fontId="15" fillId="0" borderId="1" xfId="51" applyNumberFormat="1" applyFont="1" applyBorder="1" applyAlignment="1" applyProtection="1">
      <protection locked="0"/>
    </xf>
    <xf numFmtId="178" fontId="15" fillId="0" borderId="1" xfId="0" applyNumberFormat="1" applyFont="1" applyFill="1" applyBorder="1" applyAlignment="1"/>
    <xf numFmtId="178" fontId="16" fillId="0" borderId="1" xfId="51" applyNumberFormat="1" applyFont="1" applyBorder="1" applyProtection="1">
      <protection locked="0"/>
    </xf>
    <xf numFmtId="178" fontId="16" fillId="0" borderId="0" xfId="51" applyNumberFormat="1" applyFont="1"/>
    <xf numFmtId="0" fontId="5" fillId="0" borderId="1" xfId="49" applyFont="1" applyBorder="1" applyAlignment="1">
      <alignment horizontal="left" vertical="center"/>
    </xf>
    <xf numFmtId="0" fontId="5" fillId="0" borderId="1" xfId="51" applyFont="1" applyBorder="1" applyAlignment="1">
      <alignment horizontal="left" vertical="center"/>
    </xf>
    <xf numFmtId="58" fontId="5" fillId="0" borderId="1" xfId="51" applyNumberFormat="1" applyFont="1" applyBorder="1" applyAlignment="1">
      <alignment horizontal="left" vertical="center"/>
    </xf>
    <xf numFmtId="181" fontId="5" fillId="0" borderId="2" xfId="51" applyNumberFormat="1" applyFont="1" applyBorder="1" applyAlignment="1" applyProtection="1">
      <alignment horizontal="center" vertical="center"/>
      <protection locked="0"/>
    </xf>
    <xf numFmtId="181" fontId="5" fillId="0" borderId="3" xfId="51" applyNumberFormat="1" applyFont="1" applyBorder="1" applyAlignment="1" applyProtection="1">
      <alignment horizontal="center" vertical="center"/>
      <protection locked="0"/>
    </xf>
    <xf numFmtId="181" fontId="5" fillId="0" borderId="4" xfId="51" applyNumberFormat="1" applyFont="1" applyBorder="1" applyAlignment="1" applyProtection="1">
      <alignment horizontal="center" vertical="center"/>
      <protection locked="0"/>
    </xf>
    <xf numFmtId="0" fontId="0" fillId="0" borderId="1" xfId="50" applyBorder="1"/>
    <xf numFmtId="0" fontId="6" fillId="0" borderId="1" xfId="51" applyBorder="1" applyAlignment="1">
      <alignment horizontal="center"/>
    </xf>
    <xf numFmtId="181" fontId="5" fillId="0" borderId="5" xfId="51" applyNumberFormat="1" applyFont="1" applyBorder="1" applyAlignment="1" applyProtection="1">
      <alignment horizontal="center" vertical="center"/>
      <protection locked="0"/>
    </xf>
    <xf numFmtId="181" fontId="5" fillId="0" borderId="6" xfId="51" applyNumberFormat="1" applyFont="1" applyBorder="1" applyAlignment="1" applyProtection="1">
      <alignment horizontal="center" vertical="center"/>
      <protection locked="0"/>
    </xf>
    <xf numFmtId="181" fontId="5" fillId="0" borderId="7" xfId="51" applyNumberFormat="1" applyFont="1" applyBorder="1" applyAlignment="1" applyProtection="1">
      <alignment horizontal="center" vertical="center"/>
      <protection locked="0"/>
    </xf>
    <xf numFmtId="0" fontId="6" fillId="0" borderId="1" xfId="51" applyFont="1" applyBorder="1" applyAlignment="1" applyProtection="1">
      <alignment horizontal="center" vertical="center"/>
      <protection locked="0"/>
    </xf>
    <xf numFmtId="2" fontId="6" fillId="0" borderId="1" xfId="51" applyNumberFormat="1" applyBorder="1" applyAlignment="1" applyProtection="1">
      <alignment horizontal="center" vertical="center"/>
      <protection locked="0"/>
    </xf>
    <xf numFmtId="0" fontId="15" fillId="0" borderId="1" xfId="51" applyFont="1" applyBorder="1" applyAlignment="1" applyProtection="1">
      <protection locked="0"/>
    </xf>
    <xf numFmtId="182" fontId="15" fillId="0" borderId="1" xfId="51" applyNumberFormat="1" applyFont="1" applyBorder="1" applyAlignment="1" applyProtection="1">
      <protection locked="0"/>
    </xf>
    <xf numFmtId="2" fontId="19" fillId="4" borderId="1" xfId="51" applyNumberFormat="1" applyFont="1" applyFill="1" applyBorder="1" applyAlignment="1">
      <alignment horizontal="center" vertical="center"/>
    </xf>
    <xf numFmtId="0" fontId="20" fillId="0" borderId="1" xfId="51" applyFont="1" applyBorder="1" applyProtection="1">
      <protection locked="0"/>
    </xf>
    <xf numFmtId="0" fontId="6" fillId="0" borderId="1" xfId="51" applyBorder="1" applyProtection="1">
      <protection locked="0"/>
    </xf>
    <xf numFmtId="0" fontId="6" fillId="0" borderId="0" xfId="51"/>
    <xf numFmtId="0" fontId="0" fillId="0" borderId="0" xfId="50" applyBorder="1"/>
    <xf numFmtId="58" fontId="0" fillId="0" borderId="0" xfId="50" applyNumberFormat="1" applyBorder="1"/>
    <xf numFmtId="58" fontId="5" fillId="0" borderId="1" xfId="51" applyNumberFormat="1" applyFont="1" applyBorder="1" applyAlignment="1" quotePrefix="1">
      <alignment horizontal="left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3" xfId="50"/>
    <cellStyle name="一般_吸塵器測試數據表 2" xfId="51"/>
    <cellStyle name="一般_吸塵器測試數據表" xfId="52"/>
  </cellStyles>
  <dxfs count="19">
    <dxf>
      <font>
        <b val="0"/>
        <i val="0"/>
        <color indexed="10"/>
      </font>
    </dxf>
    <dxf>
      <font>
        <b val="0"/>
        <i val="0"/>
        <color indexed="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271780</xdr:colOff>
      <xdr:row>2</xdr:row>
      <xdr:rowOff>219075</xdr:rowOff>
    </xdr:to>
    <xdr:pic>
      <xdr:nvPicPr>
        <xdr:cNvPr id="2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9804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tabSelected="1" zoomScale="115" zoomScaleNormal="115" workbookViewId="0">
      <selection activeCell="C18" sqref="C18"/>
    </sheetView>
  </sheetViews>
  <sheetFormatPr defaultColWidth="9" defaultRowHeight="14.4"/>
  <cols>
    <col min="1" max="1" width="18.287037037037" style="2" customWidth="1"/>
    <col min="2" max="2" width="10.7037037037037" style="2" customWidth="1"/>
    <col min="3" max="3" width="8.42592592592593" style="2" customWidth="1"/>
    <col min="4" max="4" width="6.86111111111111" style="2" hidden="1" customWidth="1"/>
    <col min="5" max="6" width="7.42592592592593" style="2" customWidth="1"/>
    <col min="7" max="7" width="10" style="2" customWidth="1"/>
    <col min="8" max="8" width="9.42592592592593" style="2" customWidth="1"/>
    <col min="9" max="12" width="8.62962962962963" style="2" customWidth="1"/>
    <col min="13" max="13" width="6.7037037037037" style="3" customWidth="1"/>
    <col min="14" max="14" width="7" style="3" customWidth="1"/>
    <col min="15" max="15" width="6.86111111111111" style="2" customWidth="1"/>
    <col min="16" max="16" width="7.28703703703704" style="2" customWidth="1"/>
    <col min="17" max="17" width="7.42592592592593" style="2" customWidth="1"/>
    <col min="18" max="18" width="7.7037037037037" style="2" customWidth="1"/>
    <col min="19" max="19" width="5.86111111111111" style="2" customWidth="1"/>
    <col min="20" max="20" width="6.56481481481481" style="2" customWidth="1"/>
    <col min="21" max="21" width="6.42592592592593" style="2" customWidth="1"/>
    <col min="22" max="22" width="6.28703703703704" style="2" customWidth="1"/>
    <col min="23" max="23" width="7.56481481481481" style="2" customWidth="1"/>
    <col min="24" max="24" width="7" style="2" hidden="1" customWidth="1"/>
    <col min="25" max="16384" width="9" style="2"/>
  </cols>
  <sheetData>
    <row r="1" s="1" customFormat="1" ht="20.25" customHeight="1" spans="1:23">
      <c r="A1" s="4"/>
      <c r="B1" s="4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2" t="s">
        <v>1</v>
      </c>
      <c r="U1" s="52"/>
      <c r="V1" s="52" t="s">
        <v>2</v>
      </c>
      <c r="W1" s="52"/>
    </row>
    <row r="2" s="1" customFormat="1" ht="20.25" customHeight="1" spans="1:23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3" t="s">
        <v>3</v>
      </c>
      <c r="U2" s="53"/>
      <c r="V2" s="53" t="s">
        <v>4</v>
      </c>
      <c r="W2" s="53"/>
    </row>
    <row r="3" s="1" customFormat="1" ht="20.25" customHeight="1" spans="1:23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3" t="s">
        <v>5</v>
      </c>
      <c r="U3" s="53"/>
      <c r="V3" s="73" t="s">
        <v>6</v>
      </c>
      <c r="W3" s="54"/>
    </row>
    <row r="4" ht="15.6" spans="1:24">
      <c r="A4" s="6" t="s">
        <v>7</v>
      </c>
      <c r="B4" s="6"/>
      <c r="C4" s="7" t="s">
        <v>8</v>
      </c>
      <c r="D4" s="7"/>
      <c r="E4" s="8" t="s">
        <v>9</v>
      </c>
      <c r="F4" s="8"/>
      <c r="G4" s="8"/>
      <c r="H4" s="9">
        <v>20164015</v>
      </c>
      <c r="I4" s="9"/>
      <c r="J4" s="9"/>
      <c r="K4" s="9"/>
      <c r="L4" s="9"/>
      <c r="M4" s="9"/>
      <c r="N4" s="7" t="s">
        <v>10</v>
      </c>
      <c r="O4" s="7"/>
      <c r="P4" s="37" t="s">
        <v>11</v>
      </c>
      <c r="Q4" s="39"/>
      <c r="R4" s="8" t="s">
        <v>12</v>
      </c>
      <c r="S4" s="8"/>
      <c r="T4" s="55">
        <v>45736</v>
      </c>
      <c r="U4" s="56"/>
      <c r="V4" s="56"/>
      <c r="W4" s="57"/>
      <c r="X4" s="58"/>
    </row>
    <row r="5" ht="15.6" spans="1:24">
      <c r="A5" s="6" t="s">
        <v>13</v>
      </c>
      <c r="B5" s="6"/>
      <c r="C5" s="7"/>
      <c r="D5" s="7"/>
      <c r="E5" s="10" t="s">
        <v>14</v>
      </c>
      <c r="F5" s="10"/>
      <c r="G5" s="10"/>
      <c r="H5" s="9"/>
      <c r="I5" s="9"/>
      <c r="J5" s="9"/>
      <c r="K5" s="9"/>
      <c r="L5" s="9"/>
      <c r="M5" s="9"/>
      <c r="N5" s="38" t="s">
        <v>15</v>
      </c>
      <c r="O5" s="38"/>
      <c r="P5" s="39"/>
      <c r="Q5" s="39"/>
      <c r="R5" s="59" t="s">
        <v>16</v>
      </c>
      <c r="S5" s="59"/>
      <c r="T5" s="60"/>
      <c r="U5" s="61"/>
      <c r="V5" s="61"/>
      <c r="W5" s="62"/>
      <c r="X5" s="58"/>
    </row>
    <row r="6" ht="25.5" customHeight="1" spans="1:25">
      <c r="A6" s="11" t="s">
        <v>17</v>
      </c>
      <c r="B6" s="12" t="s">
        <v>18</v>
      </c>
      <c r="C6" s="12" t="s">
        <v>19</v>
      </c>
      <c r="D6" s="12" t="s">
        <v>20</v>
      </c>
      <c r="E6" s="12" t="s">
        <v>21</v>
      </c>
      <c r="F6" s="12" t="s">
        <v>21</v>
      </c>
      <c r="G6" s="12" t="s">
        <v>22</v>
      </c>
      <c r="H6" s="12"/>
      <c r="I6" s="40" t="s">
        <v>23</v>
      </c>
      <c r="J6" s="40" t="s">
        <v>24</v>
      </c>
      <c r="K6" s="40" t="s">
        <v>25</v>
      </c>
      <c r="L6" s="40" t="s">
        <v>26</v>
      </c>
      <c r="M6" s="41" t="s">
        <v>27</v>
      </c>
      <c r="N6" s="41"/>
      <c r="O6" s="12" t="s">
        <v>28</v>
      </c>
      <c r="P6" s="42" t="s">
        <v>29</v>
      </c>
      <c r="Q6" s="42" t="s">
        <v>30</v>
      </c>
      <c r="R6" s="42" t="s">
        <v>31</v>
      </c>
      <c r="S6" s="42" t="s">
        <v>32</v>
      </c>
      <c r="T6" s="12" t="s">
        <v>33</v>
      </c>
      <c r="U6" s="12" t="s">
        <v>34</v>
      </c>
      <c r="V6" s="12" t="s">
        <v>35</v>
      </c>
      <c r="W6" s="12" t="s">
        <v>36</v>
      </c>
      <c r="X6" s="12"/>
      <c r="Y6" s="71"/>
    </row>
    <row r="7" ht="14.25" customHeight="1" spans="1:25">
      <c r="A7" s="11" t="s">
        <v>37</v>
      </c>
      <c r="B7" s="12"/>
      <c r="C7" s="12" t="s">
        <v>38</v>
      </c>
      <c r="D7" s="12"/>
      <c r="E7" s="12"/>
      <c r="F7" s="12"/>
      <c r="G7" s="12" t="s">
        <v>39</v>
      </c>
      <c r="H7" s="12" t="s">
        <v>40</v>
      </c>
      <c r="I7" s="40"/>
      <c r="J7" s="40"/>
      <c r="K7" s="40"/>
      <c r="L7" s="40"/>
      <c r="M7" s="41" t="s">
        <v>39</v>
      </c>
      <c r="N7" s="41" t="s">
        <v>40</v>
      </c>
      <c r="O7" s="12"/>
      <c r="P7" s="42"/>
      <c r="Q7" s="42"/>
      <c r="R7" s="42"/>
      <c r="S7" s="42"/>
      <c r="T7" s="12"/>
      <c r="U7" s="12"/>
      <c r="V7" s="12"/>
      <c r="W7" s="12"/>
      <c r="X7" s="12"/>
      <c r="Y7" s="71"/>
    </row>
    <row r="8" ht="24" spans="1:25">
      <c r="A8" s="11"/>
      <c r="B8" s="12"/>
      <c r="C8" s="12"/>
      <c r="D8" s="12"/>
      <c r="E8" s="13" t="s">
        <v>41</v>
      </c>
      <c r="F8" s="13" t="s">
        <v>42</v>
      </c>
      <c r="G8" s="12"/>
      <c r="H8" s="12"/>
      <c r="I8" s="40"/>
      <c r="J8" s="40"/>
      <c r="K8" s="40"/>
      <c r="L8" s="40"/>
      <c r="M8" s="41"/>
      <c r="N8" s="41"/>
      <c r="O8" s="12"/>
      <c r="P8" s="42"/>
      <c r="Q8" s="42"/>
      <c r="R8" s="42"/>
      <c r="S8" s="42"/>
      <c r="T8" s="12"/>
      <c r="U8" s="12"/>
      <c r="V8" s="12"/>
      <c r="W8" s="12"/>
      <c r="X8" s="12"/>
      <c r="Y8" s="71"/>
    </row>
    <row r="9" ht="15.75" customHeight="1" spans="1:25">
      <c r="A9" s="14" t="s">
        <v>43</v>
      </c>
      <c r="B9" s="15" t="s">
        <v>44</v>
      </c>
      <c r="C9" s="15" t="s">
        <v>44</v>
      </c>
      <c r="D9" s="16" t="s">
        <v>45</v>
      </c>
      <c r="E9" s="15" t="s">
        <v>46</v>
      </c>
      <c r="F9" s="15" t="s">
        <v>47</v>
      </c>
      <c r="G9" s="15" t="s">
        <v>48</v>
      </c>
      <c r="H9" s="15" t="s">
        <v>49</v>
      </c>
      <c r="I9" s="15" t="s">
        <v>50</v>
      </c>
      <c r="J9" s="15" t="s">
        <v>51</v>
      </c>
      <c r="K9" s="15" t="s">
        <v>52</v>
      </c>
      <c r="L9" s="15" t="s">
        <v>53</v>
      </c>
      <c r="M9" s="43" t="s">
        <v>54</v>
      </c>
      <c r="N9" s="43" t="s">
        <v>55</v>
      </c>
      <c r="O9" s="15" t="s">
        <v>44</v>
      </c>
      <c r="P9" s="15" t="s">
        <v>44</v>
      </c>
      <c r="Q9" s="15" t="s">
        <v>44</v>
      </c>
      <c r="R9" s="15" t="s">
        <v>44</v>
      </c>
      <c r="S9" s="15" t="s">
        <v>44</v>
      </c>
      <c r="T9" s="15" t="s">
        <v>44</v>
      </c>
      <c r="U9" s="15" t="s">
        <v>44</v>
      </c>
      <c r="V9" s="15" t="s">
        <v>44</v>
      </c>
      <c r="W9" s="15" t="s">
        <v>44</v>
      </c>
      <c r="X9" s="63" t="s">
        <v>56</v>
      </c>
      <c r="Y9" s="71"/>
    </row>
    <row r="10" ht="15.75" customHeight="1" spans="1:25">
      <c r="A10" s="17"/>
      <c r="B10" s="15"/>
      <c r="C10" s="15"/>
      <c r="D10" s="16"/>
      <c r="E10" s="15"/>
      <c r="F10" s="15"/>
      <c r="G10" s="15"/>
      <c r="H10" s="15"/>
      <c r="I10" s="15"/>
      <c r="J10" s="15"/>
      <c r="K10" s="15"/>
      <c r="L10" s="15"/>
      <c r="M10" s="43"/>
      <c r="N10" s="43"/>
      <c r="O10" s="15"/>
      <c r="P10" s="15"/>
      <c r="Q10" s="15"/>
      <c r="R10" s="15"/>
      <c r="S10" s="15"/>
      <c r="T10" s="15"/>
      <c r="U10" s="15"/>
      <c r="V10" s="15"/>
      <c r="W10" s="15"/>
      <c r="X10" s="63"/>
      <c r="Y10" s="71"/>
    </row>
    <row r="11" ht="15.6" spans="1:25">
      <c r="A11" s="18" t="s">
        <v>57</v>
      </c>
      <c r="B11" s="19" t="s">
        <v>44</v>
      </c>
      <c r="C11" s="19" t="s">
        <v>44</v>
      </c>
      <c r="D11" s="20" t="s">
        <v>58</v>
      </c>
      <c r="E11" s="19">
        <v>80.7</v>
      </c>
      <c r="F11" s="21">
        <v>63.42</v>
      </c>
      <c r="G11" s="19">
        <v>213.57</v>
      </c>
      <c r="H11" s="21">
        <v>82.15</v>
      </c>
      <c r="I11" s="19">
        <v>3113</v>
      </c>
      <c r="J11" s="19">
        <v>429.6</v>
      </c>
      <c r="K11" s="19">
        <v>1870</v>
      </c>
      <c r="L11" s="19">
        <v>428.1</v>
      </c>
      <c r="M11" s="19">
        <v>53.25</v>
      </c>
      <c r="N11" s="21">
        <v>44.56</v>
      </c>
      <c r="O11" s="19" t="s">
        <v>44</v>
      </c>
      <c r="P11" s="19" t="s">
        <v>44</v>
      </c>
      <c r="Q11" s="19" t="s">
        <v>44</v>
      </c>
      <c r="R11" s="19" t="s">
        <v>44</v>
      </c>
      <c r="S11" s="19" t="s">
        <v>44</v>
      </c>
      <c r="T11" s="19" t="s">
        <v>44</v>
      </c>
      <c r="U11" s="19" t="s">
        <v>44</v>
      </c>
      <c r="V11" s="19" t="s">
        <v>44</v>
      </c>
      <c r="W11" s="19" t="s">
        <v>44</v>
      </c>
      <c r="X11" s="64"/>
      <c r="Y11" s="72"/>
    </row>
    <row r="12" ht="15.6" spans="1:25">
      <c r="A12" s="18" t="s">
        <v>59</v>
      </c>
      <c r="B12" s="19" t="s">
        <v>44</v>
      </c>
      <c r="C12" s="19" t="s">
        <v>44</v>
      </c>
      <c r="D12" s="22" t="s">
        <v>58</v>
      </c>
      <c r="E12" s="19">
        <v>75.58</v>
      </c>
      <c r="F12" s="21">
        <v>66.35</v>
      </c>
      <c r="G12" s="19">
        <v>217.47</v>
      </c>
      <c r="H12" s="21">
        <v>89.81</v>
      </c>
      <c r="I12" s="19">
        <v>3147</v>
      </c>
      <c r="J12" s="19">
        <v>426.6</v>
      </c>
      <c r="K12" s="19">
        <v>1898</v>
      </c>
      <c r="L12" s="19">
        <v>370.6</v>
      </c>
      <c r="M12" s="19">
        <v>52.52</v>
      </c>
      <c r="N12" s="21">
        <v>44.22</v>
      </c>
      <c r="O12" s="19" t="s">
        <v>44</v>
      </c>
      <c r="P12" s="19" t="s">
        <v>44</v>
      </c>
      <c r="Q12" s="19" t="s">
        <v>44</v>
      </c>
      <c r="R12" s="19" t="s">
        <v>44</v>
      </c>
      <c r="S12" s="19" t="s">
        <v>44</v>
      </c>
      <c r="T12" s="19" t="s">
        <v>44</v>
      </c>
      <c r="U12" s="19" t="s">
        <v>44</v>
      </c>
      <c r="V12" s="19" t="s">
        <v>44</v>
      </c>
      <c r="W12" s="19" t="s">
        <v>44</v>
      </c>
      <c r="X12" s="64"/>
      <c r="Y12" s="71"/>
    </row>
    <row r="13" ht="15.6" spans="1:25">
      <c r="A13" s="18" t="s">
        <v>60</v>
      </c>
      <c r="B13" s="19" t="s">
        <v>44</v>
      </c>
      <c r="C13" s="19" t="s">
        <v>44</v>
      </c>
      <c r="D13" s="22"/>
      <c r="E13" s="19">
        <v>78.91</v>
      </c>
      <c r="F13" s="23">
        <v>65.1</v>
      </c>
      <c r="G13" s="19">
        <v>215.31</v>
      </c>
      <c r="H13" s="21">
        <v>87.12</v>
      </c>
      <c r="I13" s="19">
        <v>3181</v>
      </c>
      <c r="J13" s="19">
        <v>412.9</v>
      </c>
      <c r="K13" s="19">
        <v>1919</v>
      </c>
      <c r="L13" s="19">
        <v>366.5</v>
      </c>
      <c r="M13" s="19">
        <v>53.16</v>
      </c>
      <c r="N13" s="21">
        <v>44.78</v>
      </c>
      <c r="O13" s="19" t="s">
        <v>44</v>
      </c>
      <c r="P13" s="19" t="s">
        <v>44</v>
      </c>
      <c r="Q13" s="19" t="s">
        <v>44</v>
      </c>
      <c r="R13" s="19" t="s">
        <v>44</v>
      </c>
      <c r="S13" s="19" t="s">
        <v>44</v>
      </c>
      <c r="T13" s="19" t="s">
        <v>44</v>
      </c>
      <c r="U13" s="19" t="s">
        <v>44</v>
      </c>
      <c r="V13" s="19" t="s">
        <v>44</v>
      </c>
      <c r="W13" s="19" t="s">
        <v>44</v>
      </c>
      <c r="X13" s="64"/>
      <c r="Y13" s="71"/>
    </row>
    <row r="14" ht="15.6" spans="1:25">
      <c r="A14" s="18" t="s">
        <v>61</v>
      </c>
      <c r="B14" s="19" t="s">
        <v>44</v>
      </c>
      <c r="C14" s="19" t="s">
        <v>44</v>
      </c>
      <c r="D14" s="22"/>
      <c r="E14" s="19">
        <v>79.33</v>
      </c>
      <c r="F14" s="21">
        <v>65.57</v>
      </c>
      <c r="G14" s="19">
        <v>214.09</v>
      </c>
      <c r="H14" s="21">
        <v>88.19</v>
      </c>
      <c r="I14" s="19">
        <v>3099</v>
      </c>
      <c r="J14" s="19">
        <v>464.9</v>
      </c>
      <c r="K14" s="19">
        <v>1871</v>
      </c>
      <c r="L14" s="19">
        <v>407.1</v>
      </c>
      <c r="M14" s="19">
        <v>53.42</v>
      </c>
      <c r="N14" s="21">
        <v>44.39</v>
      </c>
      <c r="O14" s="19" t="s">
        <v>44</v>
      </c>
      <c r="P14" s="19" t="s">
        <v>44</v>
      </c>
      <c r="Q14" s="19" t="s">
        <v>44</v>
      </c>
      <c r="R14" s="19" t="s">
        <v>44</v>
      </c>
      <c r="S14" s="19" t="s">
        <v>44</v>
      </c>
      <c r="T14" s="19" t="s">
        <v>44</v>
      </c>
      <c r="U14" s="19" t="s">
        <v>44</v>
      </c>
      <c r="V14" s="19" t="s">
        <v>44</v>
      </c>
      <c r="W14" s="19" t="s">
        <v>44</v>
      </c>
      <c r="X14" s="64"/>
      <c r="Y14" s="71"/>
    </row>
    <row r="15" ht="15.6" spans="1:25">
      <c r="A15" s="18" t="s">
        <v>62</v>
      </c>
      <c r="B15" s="19" t="s">
        <v>44</v>
      </c>
      <c r="C15" s="19" t="s">
        <v>44</v>
      </c>
      <c r="D15" s="22"/>
      <c r="E15" s="19">
        <v>84.9</v>
      </c>
      <c r="F15" s="21">
        <v>65.35</v>
      </c>
      <c r="G15" s="19">
        <v>213.79</v>
      </c>
      <c r="H15" s="21">
        <v>90.49</v>
      </c>
      <c r="I15" s="19">
        <v>3111</v>
      </c>
      <c r="J15" s="19">
        <v>475.1</v>
      </c>
      <c r="K15" s="19">
        <v>1865</v>
      </c>
      <c r="L15" s="19">
        <v>374.5</v>
      </c>
      <c r="M15" s="19">
        <v>54.11</v>
      </c>
      <c r="N15" s="23">
        <v>44.76</v>
      </c>
      <c r="O15" s="19" t="s">
        <v>44</v>
      </c>
      <c r="P15" s="19" t="s">
        <v>44</v>
      </c>
      <c r="Q15" s="19" t="s">
        <v>44</v>
      </c>
      <c r="R15" s="19" t="s">
        <v>44</v>
      </c>
      <c r="S15" s="19" t="s">
        <v>44</v>
      </c>
      <c r="T15" s="19" t="s">
        <v>44</v>
      </c>
      <c r="U15" s="19" t="s">
        <v>44</v>
      </c>
      <c r="V15" s="19" t="s">
        <v>44</v>
      </c>
      <c r="W15" s="19" t="s">
        <v>44</v>
      </c>
      <c r="X15" s="64"/>
      <c r="Y15" s="71"/>
    </row>
    <row r="16" ht="15.6" spans="1:24">
      <c r="A16" s="18">
        <v>6</v>
      </c>
      <c r="B16" s="19"/>
      <c r="C16" s="19"/>
      <c r="D16" s="22"/>
      <c r="E16" s="19"/>
      <c r="F16" s="24"/>
      <c r="G16" s="25"/>
      <c r="H16" s="24"/>
      <c r="I16" s="19"/>
      <c r="J16" s="19"/>
      <c r="K16" s="19"/>
      <c r="L16" s="19"/>
      <c r="M16" s="19"/>
      <c r="N16" s="44"/>
      <c r="O16" s="19"/>
      <c r="P16" s="19"/>
      <c r="Q16" s="19"/>
      <c r="R16" s="19"/>
      <c r="S16" s="19"/>
      <c r="T16" s="19"/>
      <c r="U16" s="19"/>
      <c r="V16" s="19"/>
      <c r="W16" s="19"/>
      <c r="X16" s="64"/>
    </row>
    <row r="17" ht="15.6" spans="1:24">
      <c r="A17" s="18">
        <v>7</v>
      </c>
      <c r="B17" s="19"/>
      <c r="C17" s="19"/>
      <c r="D17" s="22"/>
      <c r="E17" s="24"/>
      <c r="F17" s="24"/>
      <c r="G17" s="24"/>
      <c r="H17" s="24"/>
      <c r="I17" s="19"/>
      <c r="J17" s="19"/>
      <c r="K17" s="19"/>
      <c r="L17" s="19"/>
      <c r="M17" s="45"/>
      <c r="N17" s="45"/>
      <c r="O17" s="19"/>
      <c r="P17" s="19"/>
      <c r="Q17" s="19"/>
      <c r="R17" s="19"/>
      <c r="S17" s="19"/>
      <c r="T17" s="19"/>
      <c r="U17" s="19"/>
      <c r="V17" s="19"/>
      <c r="W17" s="19"/>
      <c r="X17" s="64"/>
    </row>
    <row r="18" ht="15.6" spans="1:24">
      <c r="A18" s="18">
        <v>8</v>
      </c>
      <c r="B18" s="19"/>
      <c r="C18" s="19"/>
      <c r="D18" s="22"/>
      <c r="E18" s="24"/>
      <c r="F18" s="24"/>
      <c r="G18" s="24"/>
      <c r="H18" s="24"/>
      <c r="I18" s="19"/>
      <c r="J18" s="19"/>
      <c r="K18" s="19"/>
      <c r="L18" s="19"/>
      <c r="M18" s="45"/>
      <c r="N18" s="45"/>
      <c r="O18" s="19"/>
      <c r="P18" s="19"/>
      <c r="Q18" s="19"/>
      <c r="R18" s="19"/>
      <c r="S18" s="19"/>
      <c r="T18" s="19"/>
      <c r="U18" s="19"/>
      <c r="V18" s="19"/>
      <c r="W18" s="19"/>
      <c r="X18" s="64"/>
    </row>
    <row r="19" ht="15.6" spans="1:24">
      <c r="A19" s="18">
        <v>9</v>
      </c>
      <c r="B19" s="19"/>
      <c r="C19" s="19"/>
      <c r="D19" s="22"/>
      <c r="E19" s="24"/>
      <c r="F19" s="24"/>
      <c r="G19" s="24"/>
      <c r="H19" s="24"/>
      <c r="I19" s="19"/>
      <c r="J19" s="19"/>
      <c r="K19" s="19"/>
      <c r="L19" s="19"/>
      <c r="M19" s="45"/>
      <c r="N19" s="45"/>
      <c r="O19" s="19"/>
      <c r="P19" s="19"/>
      <c r="Q19" s="19"/>
      <c r="R19" s="19"/>
      <c r="S19" s="19"/>
      <c r="T19" s="19"/>
      <c r="U19" s="19"/>
      <c r="V19" s="19"/>
      <c r="W19" s="19"/>
      <c r="X19" s="64"/>
    </row>
    <row r="20" ht="15.6" spans="1:24">
      <c r="A20" s="26">
        <v>10</v>
      </c>
      <c r="B20" s="27"/>
      <c r="C20" s="28"/>
      <c r="D20" s="22"/>
      <c r="E20" s="24"/>
      <c r="F20" s="29"/>
      <c r="G20" s="24"/>
      <c r="H20" s="29"/>
      <c r="I20" s="46"/>
      <c r="J20" s="46"/>
      <c r="K20" s="46"/>
      <c r="L20" s="46"/>
      <c r="M20" s="47"/>
      <c r="N20" s="47"/>
      <c r="O20" s="29"/>
      <c r="P20" s="48"/>
      <c r="Q20" s="30"/>
      <c r="R20" s="65"/>
      <c r="S20" s="65"/>
      <c r="T20" s="30"/>
      <c r="U20" s="66"/>
      <c r="V20" s="66"/>
      <c r="W20" s="66"/>
      <c r="X20" s="64"/>
    </row>
    <row r="21" ht="15.6" spans="1:24">
      <c r="A21" s="26">
        <v>11</v>
      </c>
      <c r="B21" s="27"/>
      <c r="C21" s="28"/>
      <c r="D21" s="30"/>
      <c r="E21" s="29"/>
      <c r="F21" s="29"/>
      <c r="G21" s="24"/>
      <c r="H21" s="29"/>
      <c r="I21" s="46"/>
      <c r="J21" s="46"/>
      <c r="K21" s="46"/>
      <c r="L21" s="46"/>
      <c r="M21" s="47"/>
      <c r="N21" s="47"/>
      <c r="O21" s="29"/>
      <c r="P21" s="48"/>
      <c r="Q21" s="30"/>
      <c r="R21" s="65"/>
      <c r="S21" s="65"/>
      <c r="T21" s="30"/>
      <c r="U21" s="66"/>
      <c r="V21" s="66"/>
      <c r="W21" s="66"/>
      <c r="X21" s="64"/>
    </row>
    <row r="22" ht="15.6" spans="1:24">
      <c r="A22" s="26">
        <v>12</v>
      </c>
      <c r="B22" s="27"/>
      <c r="C22" s="28"/>
      <c r="D22" s="30"/>
      <c r="E22" s="29"/>
      <c r="F22" s="29"/>
      <c r="G22" s="29"/>
      <c r="H22" s="29"/>
      <c r="I22" s="46"/>
      <c r="J22" s="46"/>
      <c r="K22" s="46"/>
      <c r="L22" s="46"/>
      <c r="M22" s="47"/>
      <c r="N22" s="47"/>
      <c r="O22" s="29"/>
      <c r="P22" s="48"/>
      <c r="Q22" s="30"/>
      <c r="R22" s="65"/>
      <c r="S22" s="65"/>
      <c r="T22" s="30"/>
      <c r="U22" s="66"/>
      <c r="V22" s="66"/>
      <c r="W22" s="66"/>
      <c r="X22" s="64"/>
    </row>
    <row r="23" ht="15.6" spans="1:24">
      <c r="A23" s="26">
        <v>13</v>
      </c>
      <c r="B23" s="27"/>
      <c r="C23" s="28"/>
      <c r="D23" s="30"/>
      <c r="E23" s="29"/>
      <c r="F23" s="31"/>
      <c r="G23" s="31"/>
      <c r="H23" s="31"/>
      <c r="I23" s="31"/>
      <c r="J23" s="49"/>
      <c r="K23" s="31"/>
      <c r="L23" s="29"/>
      <c r="M23" s="29"/>
      <c r="N23" s="47"/>
      <c r="O23" s="29"/>
      <c r="P23" s="48"/>
      <c r="Q23" s="30"/>
      <c r="R23" s="65"/>
      <c r="S23" s="65"/>
      <c r="T23" s="30"/>
      <c r="U23" s="66"/>
      <c r="V23" s="66"/>
      <c r="W23" s="66"/>
      <c r="X23" s="64"/>
    </row>
    <row r="24" ht="15.6" spans="1:24">
      <c r="A24" s="26">
        <v>14</v>
      </c>
      <c r="B24" s="27"/>
      <c r="C24" s="28"/>
      <c r="D24" s="30"/>
      <c r="E24" s="27"/>
      <c r="F24" s="27"/>
      <c r="G24" s="27"/>
      <c r="H24" s="27"/>
      <c r="I24" s="27"/>
      <c r="J24" s="27"/>
      <c r="K24" s="27"/>
      <c r="L24" s="27"/>
      <c r="M24" s="31"/>
      <c r="N24" s="29"/>
      <c r="O24" s="27"/>
      <c r="P24" s="27"/>
      <c r="Q24" s="27"/>
      <c r="R24" s="27"/>
      <c r="S24" s="27"/>
      <c r="T24" s="30"/>
      <c r="U24" s="27"/>
      <c r="V24" s="27"/>
      <c r="W24" s="66"/>
      <c r="X24" s="64"/>
    </row>
    <row r="25" ht="15.6" spans="1:24">
      <c r="A25" s="26">
        <v>15</v>
      </c>
      <c r="B25" s="27"/>
      <c r="C25" s="28"/>
      <c r="D25" s="30"/>
      <c r="E25" s="27"/>
      <c r="F25" s="27"/>
      <c r="G25" s="27"/>
      <c r="H25" s="27"/>
      <c r="I25" s="27"/>
      <c r="J25" s="27"/>
      <c r="K25" s="27"/>
      <c r="L25" s="27"/>
      <c r="M25" s="31"/>
      <c r="N25" s="48"/>
      <c r="O25" s="27"/>
      <c r="P25" s="27"/>
      <c r="Q25" s="27"/>
      <c r="R25" s="27"/>
      <c r="S25" s="27"/>
      <c r="T25" s="30"/>
      <c r="U25" s="27"/>
      <c r="V25" s="27"/>
      <c r="W25" s="66"/>
      <c r="X25" s="64"/>
    </row>
    <row r="26" ht="15.6" spans="1:24">
      <c r="A26" s="26">
        <v>16</v>
      </c>
      <c r="B26" s="27"/>
      <c r="C26" s="28"/>
      <c r="D26" s="30"/>
      <c r="E26" s="27"/>
      <c r="F26" s="27"/>
      <c r="G26" s="27"/>
      <c r="H26" s="27"/>
      <c r="I26" s="27"/>
      <c r="J26" s="27"/>
      <c r="K26" s="27"/>
      <c r="L26" s="27"/>
      <c r="M26" s="31"/>
      <c r="N26" s="48"/>
      <c r="O26" s="27"/>
      <c r="P26" s="27"/>
      <c r="Q26" s="27"/>
      <c r="R26" s="27"/>
      <c r="S26" s="27"/>
      <c r="T26" s="30"/>
      <c r="U26" s="27"/>
      <c r="V26" s="27"/>
      <c r="W26" s="66"/>
      <c r="X26" s="64"/>
    </row>
    <row r="27" ht="15.6" spans="1:24">
      <c r="A27" s="26">
        <v>17</v>
      </c>
      <c r="B27" s="27"/>
      <c r="C27" s="28"/>
      <c r="D27" s="30"/>
      <c r="E27" s="27"/>
      <c r="F27" s="27"/>
      <c r="G27" s="27"/>
      <c r="H27" s="27"/>
      <c r="I27" s="27"/>
      <c r="J27" s="27"/>
      <c r="K27" s="27"/>
      <c r="L27" s="27"/>
      <c r="M27" s="31"/>
      <c r="N27" s="48"/>
      <c r="O27" s="27"/>
      <c r="P27" s="27"/>
      <c r="Q27" s="27"/>
      <c r="R27" s="27"/>
      <c r="S27" s="27"/>
      <c r="T27" s="30"/>
      <c r="U27" s="27"/>
      <c r="V27" s="27"/>
      <c r="W27" s="66"/>
      <c r="X27" s="64"/>
    </row>
    <row r="28" ht="15.6" spans="1:24">
      <c r="A28" s="26">
        <v>18</v>
      </c>
      <c r="B28" s="27"/>
      <c r="C28" s="28"/>
      <c r="D28" s="30"/>
      <c r="E28" s="27"/>
      <c r="F28" s="27"/>
      <c r="G28" s="27"/>
      <c r="H28" s="27"/>
      <c r="I28" s="27"/>
      <c r="J28" s="27"/>
      <c r="K28" s="27"/>
      <c r="L28" s="27"/>
      <c r="M28" s="31"/>
      <c r="N28" s="48"/>
      <c r="O28" s="27"/>
      <c r="P28" s="27"/>
      <c r="Q28" s="27"/>
      <c r="R28" s="27"/>
      <c r="S28" s="27"/>
      <c r="T28" s="30"/>
      <c r="U28" s="27"/>
      <c r="V28" s="27"/>
      <c r="W28" s="66"/>
      <c r="X28" s="64"/>
    </row>
    <row r="29" ht="15.6" spans="1:24">
      <c r="A29" s="26">
        <v>19</v>
      </c>
      <c r="B29" s="27"/>
      <c r="C29" s="28"/>
      <c r="D29" s="30"/>
      <c r="E29" s="27"/>
      <c r="F29" s="27"/>
      <c r="G29" s="27"/>
      <c r="H29" s="27"/>
      <c r="I29" s="27"/>
      <c r="J29" s="27"/>
      <c r="K29" s="27"/>
      <c r="L29" s="27"/>
      <c r="M29" s="31"/>
      <c r="N29" s="48"/>
      <c r="O29" s="27"/>
      <c r="P29" s="27"/>
      <c r="Q29" s="27"/>
      <c r="R29" s="27"/>
      <c r="S29" s="27"/>
      <c r="T29" s="30"/>
      <c r="U29" s="27"/>
      <c r="V29" s="27"/>
      <c r="W29" s="66"/>
      <c r="X29" s="64"/>
    </row>
    <row r="30" ht="15.6" spans="1:24">
      <c r="A30" s="26">
        <v>20</v>
      </c>
      <c r="B30" s="27"/>
      <c r="C30" s="28"/>
      <c r="D30" s="30"/>
      <c r="E30" s="27"/>
      <c r="F30" s="27"/>
      <c r="G30" s="27"/>
      <c r="H30" s="27"/>
      <c r="I30" s="27"/>
      <c r="J30" s="27"/>
      <c r="K30" s="27"/>
      <c r="L30" s="27"/>
      <c r="M30" s="31"/>
      <c r="N30" s="48"/>
      <c r="O30" s="27"/>
      <c r="P30" s="27"/>
      <c r="Q30" s="27"/>
      <c r="R30" s="27"/>
      <c r="S30" s="27"/>
      <c r="T30" s="30"/>
      <c r="U30" s="27"/>
      <c r="V30" s="27"/>
      <c r="W30" s="66"/>
      <c r="X30" s="64"/>
    </row>
    <row r="31" spans="1:25">
      <c r="A31" s="32" t="s">
        <v>63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 t="str">
        <f>IF(U11=" "," ",IF(MIN(U11:U30)=0," ",MIN(U11:U30)))</f>
        <v> </v>
      </c>
      <c r="V31" s="33" t="str">
        <f>IF(V11=" "," ",IF(MIN(V11:V30)=0," ",MIN(V11:V30)))</f>
        <v> </v>
      </c>
      <c r="W31" s="33" t="str">
        <f>IF(W11=" "," ",IF(MIN(W11:W30)=0," ",MIN(W11:W30)))</f>
        <v> </v>
      </c>
      <c r="X31" s="67" t="str">
        <f>IF(X11=" "," ",IF(MIN(X11:X30)=0," ",MIN(X11:X30)))</f>
        <v> </v>
      </c>
      <c r="Y31" s="71"/>
    </row>
    <row r="32" spans="1:25">
      <c r="A32" s="32" t="s">
        <v>64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 t="str">
        <f>IF(U11=" "," ",IF(U31=" "," ",AVERAGE(U11:U30)))</f>
        <v> </v>
      </c>
      <c r="V32" s="33" t="str">
        <f>IF(V11=" "," ",IF(V31=" "," ",AVERAGE(V11:V30)))</f>
        <v> </v>
      </c>
      <c r="W32" s="33" t="str">
        <f>IF(W11=" "," ",IF(W31=" "," ",AVERAGE(W11:W30)))</f>
        <v> </v>
      </c>
      <c r="X32" s="67" t="str">
        <f>IF(X11=" "," ",IF(X31=" "," ",AVERAGE(X11:X30)))</f>
        <v> </v>
      </c>
      <c r="Y32" s="71"/>
    </row>
    <row r="33" spans="1:25">
      <c r="A33" s="32" t="s">
        <v>65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 t="str">
        <f>IF(U11=" "," ",IF(U31=" "," ",MAX(U11:U30)))</f>
        <v> </v>
      </c>
      <c r="V33" s="33" t="str">
        <f>IF(V11=" "," ",IF(V31=" "," ",MAX(V11:V30)))</f>
        <v> </v>
      </c>
      <c r="W33" s="33" t="str">
        <f>IF(W11=" "," ",IF(W31=" "," ",MAX(W11:W30)))</f>
        <v> </v>
      </c>
      <c r="X33" s="67" t="str">
        <f>IF(X11=" "," ",IF(X31=" "," ",MAX(X11:X30)))</f>
        <v> </v>
      </c>
      <c r="Y33" s="71"/>
    </row>
    <row r="34" spans="1:25">
      <c r="A34" s="32" t="s">
        <v>66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 t="str">
        <f>IF(U11=" "," ",IF(U31=" "," ",STDEV(U11:U30)))</f>
        <v> </v>
      </c>
      <c r="V34" s="33" t="str">
        <f>IF(V11=" "," ",IF(V31=" "," ",STDEV(V11:V30)))</f>
        <v> </v>
      </c>
      <c r="W34" s="33" t="str">
        <f>IF(W11=" "," ",IF(W31=" "," ",STDEV(W11:W30)))</f>
        <v> </v>
      </c>
      <c r="X34" s="67" t="str">
        <f>IF(X11=" "," ",IF(X31=" "," ",STDEV(X11:X30)))</f>
        <v> </v>
      </c>
      <c r="Y34" s="71"/>
    </row>
    <row r="35" ht="15.6" spans="1:25">
      <c r="A35" s="34" t="s">
        <v>37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50"/>
      <c r="N35" s="50"/>
      <c r="O35" s="35"/>
      <c r="P35" s="35"/>
      <c r="Q35" s="35"/>
      <c r="R35" s="35"/>
      <c r="S35" s="35"/>
      <c r="T35" s="35"/>
      <c r="U35" s="68"/>
      <c r="V35" s="68"/>
      <c r="W35" s="68"/>
      <c r="X35" s="69"/>
      <c r="Y35" s="71"/>
    </row>
    <row r="36" ht="15.6" spans="1:23">
      <c r="A36" s="36" t="s">
        <v>67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51"/>
      <c r="N36" s="51"/>
      <c r="O36" s="36"/>
      <c r="P36" s="36"/>
      <c r="Q36" s="36"/>
      <c r="R36" s="36"/>
      <c r="S36" s="36"/>
      <c r="T36" s="36"/>
      <c r="U36" s="70"/>
      <c r="V36" s="70"/>
      <c r="W36"/>
    </row>
    <row r="38" spans="21:22">
      <c r="U38" s="71"/>
      <c r="V38" s="71"/>
    </row>
    <row r="39" spans="22:22">
      <c r="V39" s="71"/>
    </row>
  </sheetData>
  <mergeCells count="70">
    <mergeCell ref="T1:U1"/>
    <mergeCell ref="V1:W1"/>
    <mergeCell ref="T2:U2"/>
    <mergeCell ref="V2:W2"/>
    <mergeCell ref="T3:U3"/>
    <mergeCell ref="V3:W3"/>
    <mergeCell ref="A4:B4"/>
    <mergeCell ref="E4:G4"/>
    <mergeCell ref="N4:O4"/>
    <mergeCell ref="R4:S4"/>
    <mergeCell ref="A5:B5"/>
    <mergeCell ref="E5:G5"/>
    <mergeCell ref="N5:O5"/>
    <mergeCell ref="R5:S5"/>
    <mergeCell ref="G6:H6"/>
    <mergeCell ref="M6:N6"/>
    <mergeCell ref="A7:A8"/>
    <mergeCell ref="A9:A10"/>
    <mergeCell ref="B6:B8"/>
    <mergeCell ref="B9:B10"/>
    <mergeCell ref="C7:C8"/>
    <mergeCell ref="C9:C10"/>
    <mergeCell ref="D6:D8"/>
    <mergeCell ref="D9:D10"/>
    <mergeCell ref="E6:E7"/>
    <mergeCell ref="E9:E10"/>
    <mergeCell ref="F6:F7"/>
    <mergeCell ref="F9:F10"/>
    <mergeCell ref="G7:G8"/>
    <mergeCell ref="G9:G10"/>
    <mergeCell ref="H7:H8"/>
    <mergeCell ref="H9:H10"/>
    <mergeCell ref="I6:I8"/>
    <mergeCell ref="I9:I10"/>
    <mergeCell ref="J6:J8"/>
    <mergeCell ref="J9:J10"/>
    <mergeCell ref="K6:K8"/>
    <mergeCell ref="K9:K10"/>
    <mergeCell ref="L6:L8"/>
    <mergeCell ref="L9:L10"/>
    <mergeCell ref="M7:M8"/>
    <mergeCell ref="M9:M10"/>
    <mergeCell ref="N7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V6:V8"/>
    <mergeCell ref="V9:V10"/>
    <mergeCell ref="W6:W8"/>
    <mergeCell ref="W9:W10"/>
    <mergeCell ref="X6:X8"/>
    <mergeCell ref="X9:X10"/>
    <mergeCell ref="A1:C3"/>
    <mergeCell ref="D1:S3"/>
    <mergeCell ref="C4:D5"/>
    <mergeCell ref="H4:M5"/>
    <mergeCell ref="P4:Q5"/>
    <mergeCell ref="T4:W5"/>
  </mergeCells>
  <conditionalFormatting sqref="E19">
    <cfRule type="cellIs" dxfId="0" priority="6" stopIfTrue="1" operator="lessThan">
      <formula>18.5</formula>
    </cfRule>
    <cfRule type="cellIs" dxfId="0" priority="5" stopIfTrue="1" operator="lessThan">
      <formula>18.5</formula>
    </cfRule>
  </conditionalFormatting>
  <conditionalFormatting sqref="G21">
    <cfRule type="cellIs" dxfId="0" priority="12" stopIfTrue="1" operator="lessThan">
      <formula>154</formula>
    </cfRule>
    <cfRule type="cellIs" dxfId="0" priority="11" stopIfTrue="1" operator="lessThan">
      <formula>160</formula>
    </cfRule>
    <cfRule type="cellIs" dxfId="0" priority="8" stopIfTrue="1" operator="lessThan">
      <formula>154</formula>
    </cfRule>
    <cfRule type="cellIs" dxfId="0" priority="7" stopIfTrue="1" operator="lessThan">
      <formula>160</formula>
    </cfRule>
  </conditionalFormatting>
  <conditionalFormatting sqref="H21">
    <cfRule type="cellIs" dxfId="1" priority="13" stopIfTrue="1" operator="greaterThanOrEqual">
      <formula>1.4</formula>
    </cfRule>
    <cfRule type="cellIs" dxfId="1" priority="9" stopIfTrue="1" operator="greaterThanOrEqual">
      <formula>1.4</formula>
    </cfRule>
  </conditionalFormatting>
  <conditionalFormatting sqref="I23">
    <cfRule type="cellIs" dxfId="0" priority="4" stopIfTrue="1" operator="lessThan">
      <formula>18.5</formula>
    </cfRule>
    <cfRule type="cellIs" dxfId="0" priority="3" stopIfTrue="1" operator="lessThan">
      <formula>18.5</formula>
    </cfRule>
  </conditionalFormatting>
  <conditionalFormatting sqref="G17:G20">
    <cfRule type="cellIs" dxfId="0" priority="2" stopIfTrue="1" operator="lessThan">
      <formula>55</formula>
    </cfRule>
    <cfRule type="cellIs" dxfId="0" priority="1" stopIfTrue="1" operator="lessThan">
      <formula>55</formula>
    </cfRule>
  </conditionalFormatting>
  <conditionalFormatting sqref="H16:H20">
    <cfRule type="cellIs" dxfId="0" priority="14" stopIfTrue="1" operator="lessThan">
      <formula>55</formula>
    </cfRule>
    <cfRule type="cellIs" dxfId="0" priority="10" stopIfTrue="1" operator="lessThan">
      <formula>55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LA800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dechangvn_01</dc:creator>
  <cp:lastModifiedBy>dechangvn_01</cp:lastModifiedBy>
  <dcterms:created xsi:type="dcterms:W3CDTF">2025-02-21T07:55:00Z</dcterms:created>
  <dcterms:modified xsi:type="dcterms:W3CDTF">2025-03-20T08:24:47Z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A7EE9A37B4A647AC840C7EC9EA344709_13</vt:lpwstr>
  </property>
  <property fmtid="{D5CDD505-2E9C-101B-9397-08002B2CF9AE}" pid="3" name="KSOProductBuildVer">
    <vt:lpwstr>1033-12.2.0.20326</vt:lpwstr>
  </property>
</Properties>
</file>