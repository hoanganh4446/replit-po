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Cheese\Documents\Zalo Received Files\"/>
    </mc:Choice>
  </mc:AlternateContent>
  <xr:revisionPtr revIDLastSave="0" documentId="13_ncr:1_{3EF4F374-1485-4FBA-AA44-DD5A0A832EFB}" xr6:coauthVersionLast="47" xr6:coauthVersionMax="47" xr10:uidLastSave="{00000000-0000-0000-0000-000000000000}"/>
  <bookViews>
    <workbookView xWindow="11438" yWindow="0" windowWidth="11684" windowHeight="13763" tabRatio="940" xr2:uid="{00000000-000D-0000-FFFF-FFFF00000000}"/>
  </bookViews>
  <sheets>
    <sheet name="Lab data" sheetId="31" r:id="rId1"/>
    <sheet name="Seri scan" sheetId="14" state="hidden" r:id="rId2"/>
  </sheets>
  <externalReferences>
    <externalReference r:id="rId3"/>
    <externalReference r:id="rId4"/>
    <externalReference r:id="rId5"/>
  </externalReferences>
  <definedNames>
    <definedName name="____________Huifang_Ma，Dike">#REF!</definedName>
    <definedName name="__Huifang_Ma，Dike">#REF!</definedName>
    <definedName name="Appearance" localSheetId="0">#REF!</definedName>
    <definedName name="Appearance">#REF!</definedName>
    <definedName name="Assembly" localSheetId="0">#REF!</definedName>
    <definedName name="Assembly">#REF!</definedName>
    <definedName name="DCC">#REF!</definedName>
    <definedName name="Defect_Class">#REF!</definedName>
    <definedName name="Defect_Class_China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HV372_Product_Pic_Inf" localSheetId="0">#REF!</definedName>
    <definedName name="HV372_Product_Pic_Inf">'[2]Inspection Report'!#REF!</definedName>
    <definedName name="LineNo." localSheetId="0">#REF!</definedName>
    <definedName name="LineNo.">#REF!</definedName>
    <definedName name="Mean__vừa" localSheetId="0">#REF!</definedName>
    <definedName name="Mean__vừa">#REF!</definedName>
    <definedName name="Performance" localSheetId="0">#REF!</definedName>
    <definedName name="Performance">#REF!</definedName>
    <definedName name="Production_Line">#REF!</definedName>
    <definedName name="q">'[3]defect code'!$C:$C</definedName>
    <definedName name="Safety" localSheetId="0">#REF!</definedName>
    <definedName name="Safety">#REF!</definedName>
    <definedName name="Score">#REF!</definedName>
    <definedName name="Vacuum" localSheetId="0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1" l="1"/>
  <c r="D32" i="31"/>
  <c r="J31" i="31"/>
  <c r="D31" i="31"/>
  <c r="J30" i="31"/>
  <c r="J29" i="31"/>
  <c r="J32" i="31" s="1"/>
  <c r="I29" i="31"/>
  <c r="I32" i="31" s="1"/>
  <c r="E29" i="31"/>
  <c r="E31" i="31" s="1"/>
  <c r="D29" i="31"/>
  <c r="D30" i="31" s="1"/>
  <c r="C29" i="31"/>
  <c r="C31" i="31" s="1"/>
  <c r="G29" i="31" l="1"/>
  <c r="G32" i="31" s="1"/>
  <c r="H29" i="31"/>
  <c r="H31" i="31" s="1"/>
  <c r="F29" i="31"/>
  <c r="F32" i="31" s="1"/>
  <c r="I30" i="31"/>
  <c r="I31" i="31"/>
  <c r="C30" i="31"/>
  <c r="E30" i="31"/>
  <c r="C32" i="31"/>
  <c r="G31" i="31" l="1"/>
  <c r="G30" i="31"/>
  <c r="H30" i="31"/>
  <c r="H32" i="31"/>
  <c r="F30" i="31"/>
  <c r="F31" i="31"/>
</calcChain>
</file>

<file path=xl/sharedStrings.xml><?xml version="1.0" encoding="utf-8"?>
<sst xmlns="http://schemas.openxmlformats.org/spreadsheetml/2006/main" count="188" uniqueCount="161">
  <si>
    <t>Pre-Shipment Inspection Data Record For Cordless</t>
  </si>
  <si>
    <t>Model No.:</t>
  </si>
  <si>
    <t>Report No.:</t>
  </si>
  <si>
    <t>/</t>
  </si>
  <si>
    <r>
      <rPr>
        <b/>
        <sz val="12"/>
        <rFont val="Times New Roman"/>
        <family val="1"/>
      </rPr>
      <t xml:space="preserve">Inspected By: </t>
    </r>
    <r>
      <rPr>
        <sz val="12"/>
        <rFont val="Times New Roman"/>
        <family val="1"/>
      </rPr>
      <t>Ngọc Hà / Minh Trung</t>
    </r>
  </si>
  <si>
    <t>Item</t>
  </si>
  <si>
    <t>The charger Hi-pot Test (P/F)
PSI room</t>
  </si>
  <si>
    <t>Air Watts/ Air Flow
Lab</t>
  </si>
  <si>
    <t>Brushroll rotation 
RPM (low speed)
Lab</t>
  </si>
  <si>
    <t>Brushroll rotation RPM(hi speed)
Lab</t>
  </si>
  <si>
    <t>Air Watts 
Lab</t>
  </si>
  <si>
    <t>Noise (dBA)
Lab</t>
  </si>
  <si>
    <t>Drop test   (P/F)
Lab</t>
  </si>
  <si>
    <t>Remark:</t>
  </si>
  <si>
    <t>Hand vac BOOST mode Air Watts (AW)</t>
  </si>
  <si>
    <t>Hand Vac BOOST mode 
Air Flow (CFM)</t>
  </si>
  <si>
    <r>
      <rPr>
        <sz val="10"/>
        <rFont val="Times New Roman"/>
        <family val="1"/>
      </rPr>
      <t xml:space="preserve">Whole machine BOOST Mode, Carpet, Air Watts </t>
    </r>
    <r>
      <rPr>
        <sz val="10"/>
        <rFont val="Aptos Narrow"/>
        <family val="2"/>
      </rPr>
      <t>（</t>
    </r>
    <r>
      <rPr>
        <sz val="10"/>
        <rFont val="Times New Roman"/>
        <family val="1"/>
      </rPr>
      <t>End of Nozzle) (AW)</t>
    </r>
  </si>
  <si>
    <t xml:space="preserve">                         Spec
  No.</t>
  </si>
  <si>
    <t>2400 ± 400 RPM</t>
  </si>
  <si>
    <t xml:space="preserve"> 3700 ± 400 RPM</t>
  </si>
  <si>
    <t>≥10</t>
  </si>
  <si>
    <t>≤85</t>
  </si>
  <si>
    <t>97cm</t>
  </si>
  <si>
    <t>\</t>
  </si>
  <si>
    <t>Min</t>
  </si>
  <si>
    <t>Mean</t>
  </si>
  <si>
    <t>Max</t>
  </si>
  <si>
    <t>STDEV</t>
  </si>
  <si>
    <t>Form No.: EP-F001 Rev.C</t>
  </si>
  <si>
    <t>http://www.registeryourshark.com/reg/?m=NV360&amp;s=Z02UX502Z6Z9</t>
  </si>
  <si>
    <t>http://www.registeryourshark.com/reg/?m=NV360&amp;s=Z02UX503Z7A9</t>
  </si>
  <si>
    <t>http://www.registeryourshark.com/reg/?m=NV360&amp;s=Z01UX502A0J4</t>
  </si>
  <si>
    <t>http://www.registeryourshark.com/reg/?m=NV360&amp;s=Z02UX502Z5Q7</t>
  </si>
  <si>
    <t>http://www.registeryourshark.com/reg/?m=NV360&amp;s=Z02UX503Z6J3</t>
  </si>
  <si>
    <t>http://www.registeryourshark.com/reg/?m=NV360&amp;s=Z01UX502A0J3</t>
  </si>
  <si>
    <t>http://www.registeryourshark.com/reg/?m=NV360&amp;s=Z02UX502Z7Z6</t>
  </si>
  <si>
    <t>http://www.registeryourshark.com/reg/?m=NV360&amp;s=Z02UX503Z6Z6</t>
  </si>
  <si>
    <t>http://www.registeryourshark.com/reg/?m=NV360&amp;s=Z01UX502Z6U1</t>
  </si>
  <si>
    <t>http://www.registeryourshark.com/reg/?m=NV360&amp;s=Z02UX502Z7R8</t>
  </si>
  <si>
    <t>http://www.registeryourshark.com/reg/?m=NV360&amp;s=Z02UX503Z6S2</t>
  </si>
  <si>
    <t>http://www.registeryourshark.com/reg/?m=NV360&amp;s=Z01UX502Z6K6</t>
  </si>
  <si>
    <t>http://www.registeryourshark.com/reg/?m=NV360&amp;s=Z02UX502Z7J4</t>
  </si>
  <si>
    <t>http://www.registeryourshark.com/reg/?m=NV360&amp;s=Z02UX503Z6S4</t>
  </si>
  <si>
    <t>http://www.registeryourshark.com/reg/?m=NV360&amp;s=Z01UX502Z6S1</t>
  </si>
  <si>
    <t>http://www.registeryourshark.com/reg/?m=NV360&amp;s=Z02UX502Z6H8</t>
  </si>
  <si>
    <t>http://www.registeryourshark.com/reg/?m=NV360&amp;s=Z02UX503Z8Z0</t>
  </si>
  <si>
    <t>http://www.registeryourshark.com/reg/?m=NV360&amp;s=Z01UX502Z9J1</t>
  </si>
  <si>
    <t>http://www.registeryourshark.com/reg/?m=NV360&amp;s=Z02UX502Z8Q3</t>
  </si>
  <si>
    <t>http://www.registeryourshark.com/reg/?m=NV360&amp;s=Z02UX503Z8Z4</t>
  </si>
  <si>
    <t>http://www.registeryourshark.com/reg/?m=NV360&amp;s=Z01UX502Z8F6</t>
  </si>
  <si>
    <t>http://www.registeryourshark.com/reg/?m=NV360&amp;s=Z02UX502Z8A5</t>
  </si>
  <si>
    <t>http://www.registeryourshark.com/reg/?m=NV360&amp;s=Z02UX503Z8R0</t>
  </si>
  <si>
    <t>http://www.registeryourshark.com/reg/?m=NV360&amp;s=Z01UX502Z7U9</t>
  </si>
  <si>
    <t>http://www.registeryourshark.com/reg/?m=NV360&amp;s=Z02UX502Z6R2</t>
  </si>
  <si>
    <t>http://www.registeryourshark.com/reg/?m=NV360&amp;s=Z02UX503Z8H0</t>
  </si>
  <si>
    <t>http://www.registeryourshark.com/reg/?m=NV360&amp;s=Z01UX502Z8H8</t>
  </si>
  <si>
    <t>http://www.registeryourshark.com/reg/?m=NV360&amp;s=Z02UX502Z6H7</t>
  </si>
  <si>
    <t>http://www.registeryourshark.com/reg/?m=NV360&amp;s=Z02UX503Z4S9</t>
  </si>
  <si>
    <t>http://www.registeryourshark.com/reg/?m=NV360&amp;s=Z01UX502Z8R4</t>
  </si>
  <si>
    <t>http://www.registeryourshark.com/reg/?m=NV360&amp;s=Z02UX502Z7R6</t>
  </si>
  <si>
    <t>http://www.registeryourshark.com/reg/?m=NV360&amp;s=Z02UX503Z4F5</t>
  </si>
  <si>
    <t>http://www.registeryourshark.com/reg/?m=NV360&amp;s=Z01UX502Z7Z0</t>
  </si>
  <si>
    <t>http://www.registeryourshark.com/reg/?m=NV360&amp;s=Z02UX502Z5J5</t>
  </si>
  <si>
    <t>http://www.registeryourshark.com/reg/?m=NV360&amp;s=Z02UX503Z3Q6</t>
  </si>
  <si>
    <t>http://www.registeryourshark.com/reg/?m=NV360&amp;s=Z01UX502Z9S7</t>
  </si>
  <si>
    <t>http://www.registeryourshark.com/reg/?m=NV360&amp;s=Z02UX502Z8R8</t>
  </si>
  <si>
    <t>http://www.registeryourshark.com/reg/?m=NV360&amp;s=Z02UX503Z8Q9</t>
  </si>
  <si>
    <t>http://www.registeryourshark.com/reg/?m=NV360&amp;s=Z01UX502Z8S6</t>
  </si>
  <si>
    <t>http://www.registeryourshark.com/reg/?m=NV360&amp;s=Z02UX502Z6Z7</t>
  </si>
  <si>
    <t>http://www.registeryourshark.com/reg/?m=NV360&amp;s=Z02UX503Z7K9</t>
  </si>
  <si>
    <t>http://www.registeryourshark.com/reg/?m=NV360&amp;s=Z01UX502Z8Z0</t>
  </si>
  <si>
    <t>http://www.registeryourshark.com/reg/?m=NV360&amp;s=Z02UX502Z4Q4</t>
  </si>
  <si>
    <t>http://www.registeryourshark.com/reg/?m=NV360&amp;s=Z03UX502A0Z9</t>
  </si>
  <si>
    <t>http://www.registeryourshark.com/reg/?m=NV360&amp;s=Z01UX502Z7Q3</t>
  </si>
  <si>
    <t>http://www.registeryourshark.com/reg/?m=NV360&amp;s=Z02UX502Z5H6</t>
  </si>
  <si>
    <t>http://www.registeryourshark.com/reg/?m=NV360&amp;s=Z02UX503Z6S9</t>
  </si>
  <si>
    <t>http://www.registeryourshark.com/reg/?m=NV360&amp;s=Z01UX502Z7F9</t>
  </si>
  <si>
    <t>http://www.registeryourshark.com/reg/?m=NV360&amp;s=Z02UX502Z4Q3</t>
  </si>
  <si>
    <t>http://www.registeryourshark.com/reg/?m=NV360&amp;s=Z02UX503Z7F0</t>
  </si>
  <si>
    <t>http://www.registeryourshark.com/reg/?m=NV360&amp;s=Z01UX502Z8R3</t>
  </si>
  <si>
    <t>http://www.registeryourshark.com/reg/?m=NV360&amp;s=Z02UX502Z4Q2</t>
  </si>
  <si>
    <t>http://www.registeryourshark.com/reg/?m=NV360&amp;s=Z02UX503Z6J7</t>
  </si>
  <si>
    <t>http://www.registeryourshark.com/reg/?m=NV360&amp;s=Z01UX502A0J8</t>
  </si>
  <si>
    <t>http://www.registeryourshark.com/reg/?m=NV360&amp;s=Z02UX502Z7J3</t>
  </si>
  <si>
    <t>http://www.registeryourshark.com/reg/?m=NV360&amp;s=Z02UX503Z6A0</t>
  </si>
  <si>
    <t>http://www.registeryourshark.com/reg/?m=NV360&amp;s=Z01UX502A0A0</t>
  </si>
  <si>
    <t>http://www.registeryourshark.com/reg/?m=NV360&amp;s=Z02UX502Z6Z5</t>
  </si>
  <si>
    <t>http://www.registeryourshark.com/reg/?m=NV360&amp;s=Z02UX503Z7K8</t>
  </si>
  <si>
    <t>http://www.registeryourshark.com/reg/?m=NV360&amp;s=Z01UX502Z9J0</t>
  </si>
  <si>
    <t>http://www.registeryourshark.com/reg/?m=NV360&amp;s=Z02UX502Z5H0</t>
  </si>
  <si>
    <t>http://www.registeryourshark.com/reg/?m=NV360&amp;s=Z02UX503Z6S3</t>
  </si>
  <si>
    <t>http://www.registeryourshark.com/reg/?m=NV360&amp;s=Z01UX502Z9U7</t>
  </si>
  <si>
    <t>http://www.registeryourshark.com/reg/?m=NV360&amp;s=Z02UX502Z7J2</t>
  </si>
  <si>
    <t>http://www.registeryourshark.com/reg/?m=NV360&amp;s=Z02UX503Z6Z9</t>
  </si>
  <si>
    <t>http://www.registeryourshark.com/reg/?m=NV360&amp;s=Z01UX502Z9U6</t>
  </si>
  <si>
    <t>http://www.registeryourshark.com/reg/?m=NV360&amp;s=Z02UX502Z1R9</t>
  </si>
  <si>
    <t>http://www.registeryourshark.com/reg/?m=NV360&amp;s=Z02UX503Z7K7</t>
  </si>
  <si>
    <t>http://www.registeryourshark.com/reg/?m=NV360&amp;s=Z01UX502Z6K5</t>
  </si>
  <si>
    <t>http://www.registeryourshark.com/reg/?m=NV360&amp;s=Z02UX502Z0S8</t>
  </si>
  <si>
    <t>http://www.registeryourshark.com/reg/?m=NV360&amp;s=Z02UX503Z3Q7</t>
  </si>
  <si>
    <t>http://www.registeryourshark.com/reg/?m=NV360&amp;s=Z01UX502Z6F0</t>
  </si>
  <si>
    <t>http://www.registeryourshark.com/reg/?m=NV360&amp;s=Z02UX502Z3U4</t>
  </si>
  <si>
    <t>http://www.registeryourshark.com/reg/?m=NV360&amp;s=Z02UX503Z4K0</t>
  </si>
  <si>
    <t>http://www.registeryourshark.com/reg/?m=NV360&amp;s=Z01UX502Z6A9</t>
  </si>
  <si>
    <t>http://www.registeryourshark.com/reg/?m=NV360&amp;s=Z02UX502Z3K6</t>
  </si>
  <si>
    <t>http://www.registeryourshark.com/reg/?m=NV360&amp;s=Z02UX503Z4Z7</t>
  </si>
  <si>
    <t>http://www.registeryourshark.com/reg/?m=NV360&amp;s=Z01UX502Z6U2</t>
  </si>
  <si>
    <t>http://www.registeryourshark.com/reg/?m=NV360&amp;s=Z02UX502Z7R5</t>
  </si>
  <si>
    <t>http://www.registeryourshark.com/reg/?m=NV360&amp;s=Z02UX503Z3Q5</t>
  </si>
  <si>
    <t>http://www.registeryourshark.com/reg/?m=NV360&amp;s=Z01UX502Z7U8</t>
  </si>
  <si>
    <t>http://www.registeryourshark.com/reg/?m=NV360&amp;s=Z02UX502Z8A3</t>
  </si>
  <si>
    <t>http://www.registeryourshark.com/reg/?m=NV360&amp;s=Z02UX503Z8Z3</t>
  </si>
  <si>
    <t>http://www.registeryourshark.com/reg/?m=NV360&amp;s=Z01UX502Z8H9</t>
  </si>
  <si>
    <t>http://www.registeryourshark.com/reg/?m=NV360&amp;s=Z02UX502Z3U1</t>
  </si>
  <si>
    <t>http://www.registeryourshark.com/reg/?m=NV360&amp;s=Z02UX503Z9H8</t>
  </si>
  <si>
    <t>http://www.registeryourshark.com/reg/?m=NV360&amp;s=Z01UX502Z9Z9</t>
  </si>
  <si>
    <t>http://www.registeryourshark.com/reg/?m=NV360&amp;s=Z02UX502Z3U5</t>
  </si>
  <si>
    <t>http://www.registeryourshark.com/reg/?m=NV360&amp;s=Z02UX503Z9Z5</t>
  </si>
  <si>
    <t>http://www.registeryourshark.com/reg/?m=NV360&amp;s=Z01UX502Z9U5</t>
  </si>
  <si>
    <t>http://www.registeryourshark.com/reg/?m=NV360&amp;s=Z02UX502Z2S5</t>
  </si>
  <si>
    <t>http://www.registeryourshark.com/reg/?m=NV360&amp;s=Z02UX503Z8H2</t>
  </si>
  <si>
    <t>http://www.registeryourshark.com/reg/?m=NV360&amp;s=Z01UX502Z6F1</t>
  </si>
  <si>
    <t>http://www.registeryourshark.com/reg/?m=NV360&amp;s=Z02UX502Z3F0</t>
  </si>
  <si>
    <t>http://www.registeryourshark.com/reg/?m=NV360&amp;s=Z02UX503Z8U7</t>
  </si>
  <si>
    <t>http://www.registeryourshark.com/reg/?m=NV360&amp;s=Z01UX502Z7Q2</t>
  </si>
  <si>
    <t>http://www.registeryourshark.com/reg/?m=NV360&amp;s=Z02UX502Z8J4</t>
  </si>
  <si>
    <t>http://www.registeryourshark.com/reg/?m=NV360&amp;s=Z02UX503Z9Z3</t>
  </si>
  <si>
    <t>http://www.registeryourshark.com/reg/?m=NV360&amp;s=Z01UX502Z8R5</t>
  </si>
  <si>
    <t>http://www.registeryourshark.com/reg/?m=NV360&amp;s=Z02UX502Z5Z7</t>
  </si>
  <si>
    <t>http://www.registeryourshark.com/reg/?m=NV360&amp;s=Z02UX503Z8Q8</t>
  </si>
  <si>
    <t>http://www.registeryourshark.com/reg/?m=NV360&amp;s=Z01UX502Z5S6</t>
  </si>
  <si>
    <t>http://www.registeryourshark.com/reg/?m=NV360&amp;s=Z02UX502Z5Z6</t>
  </si>
  <si>
    <t>http://www.registeryourshark.com/reg/?m=NV360&amp;s=Z02UX503Z5Q3</t>
  </si>
  <si>
    <t>http://www.registeryourshark.com/reg/?m=NV360&amp;s=Z01UX502Z2S7</t>
  </si>
  <si>
    <t>http://www.registeryourshark.com/reg/?m=NV360&amp;s=Z02UX502Z2J9</t>
  </si>
  <si>
    <t>http://www.registeryourshark.com/reg/?m=NV360&amp;s=Z02UX503Z4F1</t>
  </si>
  <si>
    <t>http://www.registeryourshark.com/reg/?m=NV360&amp;s=Z01UX502Z5K1</t>
  </si>
  <si>
    <t>http://www.registeryourshark.com/reg/?m=NV360&amp;s=Z02UX502Z0J4</t>
  </si>
  <si>
    <t>http://www.registeryourshark.com/reg/?m=NV360&amp;s=Z02UX503Z3K1</t>
  </si>
  <si>
    <t>http://www.registeryourshark.com/reg/?m=NV360&amp;s=Z01UX502Z4R0</t>
  </si>
  <si>
    <t>http://www.registeryourshark.com/reg/?m=NV360&amp;s=Z02UX502Z3K5</t>
  </si>
  <si>
    <t>http://www.registeryourshark.com/reg/?m=NV360&amp;s=Z02UX503Z5Q2</t>
  </si>
  <si>
    <t>http://www.registeryourshark.com/reg/?m=NV360&amp;s=Z01UX502Z4Z2</t>
  </si>
  <si>
    <t>http://www.registeryourshark.com/reg/?m=NV360&amp;s=Z02UX502Z3K7</t>
  </si>
  <si>
    <t>http://www.registeryourshark.com/reg/?m=NV360&amp;s=Z02UX503Z7K0</t>
  </si>
  <si>
    <t>http://www.registeryourshark.com/reg/?m=NV360&amp;s=Z01UX502Z2F1</t>
  </si>
  <si>
    <t>http://www.registeryourshark.com/reg/?m=NV360&amp;s=Z02UX502Z2S4</t>
  </si>
  <si>
    <t>http://www.registeryourshark.com/reg/?m=NV360&amp;s=Z02UX503Z7A1</t>
  </si>
  <si>
    <t>http://www.registeryourshark.com/reg/?m=NV360&amp;s=Z01UX502Z4S8</t>
  </si>
  <si>
    <t>http://www.registeryourshark.com/reg/?m=NV360&amp;s=Z02UX502Z2J7</t>
  </si>
  <si>
    <t>http://www.registeryourshark.com/reg/?m=NV360&amp;s=Z02UX502Z0S7</t>
  </si>
  <si>
    <t>http://www.registeryourshark.com/reg/?m=NV360&amp;s=Z02UX502Z0J6</t>
  </si>
  <si>
    <t>http://www.registeryourshark.com/reg/?m=NV360&amp;s=Z02UX502Z0J2</t>
  </si>
  <si>
    <t>SV2002HST</t>
  </si>
  <si>
    <r>
      <t xml:space="preserve">Barcode # 
</t>
    </r>
    <r>
      <rPr>
        <sz val="10"/>
        <rFont val="Aptos Narrow"/>
        <family val="2"/>
      </rPr>
      <t>二维码</t>
    </r>
  </si>
  <si>
    <t>J15ZX505A0J0</t>
  </si>
  <si>
    <t>J15ZX505Z9S6</t>
  </si>
  <si>
    <t>J15ZX505Z9K4</t>
  </si>
  <si>
    <t>J15ZX505Z9Q7</t>
  </si>
  <si>
    <t>J15ZX505Z9J9</t>
  </si>
  <si>
    <r>
      <t>Date:</t>
    </r>
    <r>
      <rPr>
        <sz val="12"/>
        <rFont val="Times New Roman"/>
        <family val="1"/>
      </rPr>
      <t xml:space="preserve"> 2025.04.21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</si>
</sst>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[$-409]d/mmm;@"/>
    <numFmt numFmtId="169" formatCode="[$¥-411]#,##0.00;\-[$¥-411]#,##0.00"/>
    <numFmt numFmtId="170" formatCode="[$-409]dd/mmm/yy;@"/>
    <numFmt numFmtId="171" formatCode="[$-409]d/mmm/yy;@"/>
    <numFmt numFmtId="172" formatCode="0_);[Red]\(0\)"/>
    <numFmt numFmtId="173" formatCode="0.00_);[Red]\(0.00\)"/>
    <numFmt numFmtId="174" formatCode="0.00_ "/>
  </numFmts>
  <fonts count="26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宋体"/>
      <charset val="134"/>
    </font>
    <font>
      <b/>
      <sz val="18"/>
      <name val="Times New Roman"/>
      <family val="1"/>
    </font>
    <font>
      <b/>
      <sz val="24"/>
      <name val="Times New Roman"/>
      <family val="1"/>
    </font>
    <font>
      <sz val="18"/>
      <name val="細明體"/>
      <charset val="136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新細明體"/>
      <charset val="134"/>
    </font>
    <font>
      <sz val="12"/>
      <name val="新細明體"/>
      <charset val="136"/>
    </font>
    <font>
      <sz val="11"/>
      <color indexed="8"/>
      <name val="Tahoma"/>
      <family val="2"/>
    </font>
    <font>
      <sz val="10"/>
      <name val="Aptos Narrow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/>
      <top style="thin">
        <color indexed="8"/>
      </top>
      <bottom/>
      <diagonal style="thin">
        <color auto="1"/>
      </diagonal>
    </border>
    <border diagonalDown="1">
      <left style="medium">
        <color auto="1"/>
      </left>
      <right/>
      <top/>
      <bottom style="thin">
        <color indexed="8"/>
      </bottom>
      <diagonal style="thin">
        <color auto="1"/>
      </diagonal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168" fontId="3" fillId="0" borderId="0">
      <alignment vertical="center"/>
    </xf>
    <xf numFmtId="0" fontId="20" fillId="0" borderId="0"/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" fillId="0" borderId="0"/>
    <xf numFmtId="0" fontId="25" fillId="0" borderId="0">
      <alignment vertical="center"/>
    </xf>
    <xf numFmtId="0" fontId="3" fillId="0" borderId="0"/>
    <xf numFmtId="0" fontId="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169" fontId="25" fillId="0" borderId="0"/>
    <xf numFmtId="0" fontId="25" fillId="0" borderId="0"/>
    <xf numFmtId="170" fontId="23" fillId="0" borderId="0">
      <alignment vertical="center"/>
    </xf>
    <xf numFmtId="0" fontId="25" fillId="0" borderId="0"/>
    <xf numFmtId="0" fontId="25" fillId="0" borderId="0"/>
    <xf numFmtId="171" fontId="1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1" fillId="0" borderId="0" xfId="1"/>
    <xf numFmtId="0" fontId="2" fillId="0" borderId="0" xfId="57" applyFont="1"/>
    <xf numFmtId="0" fontId="3" fillId="0" borderId="0" xfId="57"/>
    <xf numFmtId="172" fontId="3" fillId="0" borderId="0" xfId="57" applyNumberFormat="1"/>
    <xf numFmtId="173" fontId="3" fillId="0" borderId="0" xfId="57" applyNumberFormat="1"/>
    <xf numFmtId="0" fontId="4" fillId="0" borderId="0" xfId="54" applyFont="1" applyAlignment="1">
      <alignment horizontal="center"/>
    </xf>
    <xf numFmtId="0" fontId="6" fillId="0" borderId="0" xfId="54" applyFont="1" applyAlignment="1">
      <alignment horizontal="center"/>
    </xf>
    <xf numFmtId="0" fontId="7" fillId="0" borderId="1" xfId="54" applyFont="1" applyBorder="1" applyAlignment="1">
      <alignment horizontal="left" vertical="center"/>
    </xf>
    <xf numFmtId="0" fontId="9" fillId="0" borderId="2" xfId="54" applyFont="1" applyBorder="1" applyAlignment="1" applyProtection="1">
      <alignment vertical="center" wrapText="1"/>
      <protection locked="0"/>
    </xf>
    <xf numFmtId="0" fontId="7" fillId="0" borderId="2" xfId="54" applyFont="1" applyBorder="1" applyAlignment="1">
      <alignment vertical="center"/>
    </xf>
    <xf numFmtId="0" fontId="7" fillId="0" borderId="3" xfId="54" applyFont="1" applyBorder="1" applyAlignment="1">
      <alignment vertical="center"/>
    </xf>
    <xf numFmtId="0" fontId="10" fillId="0" borderId="5" xfId="54" applyFont="1" applyBorder="1" applyAlignment="1">
      <alignment horizontal="center" vertical="center" wrapText="1"/>
    </xf>
    <xf numFmtId="173" fontId="10" fillId="0" borderId="10" xfId="54" applyNumberFormat="1" applyFont="1" applyBorder="1" applyAlignment="1" applyProtection="1">
      <alignment horizontal="center" vertical="center" wrapText="1"/>
      <protection locked="0"/>
    </xf>
    <xf numFmtId="0" fontId="10" fillId="0" borderId="16" xfId="54" applyFont="1" applyBorder="1" applyAlignment="1">
      <alignment horizontal="center"/>
    </xf>
    <xf numFmtId="0" fontId="12" fillId="0" borderId="5" xfId="11" applyFont="1" applyBorder="1" applyAlignment="1">
      <alignment horizontal="center" vertical="center"/>
    </xf>
    <xf numFmtId="0" fontId="10" fillId="0" borderId="5" xfId="11" applyFont="1" applyBorder="1" applyAlignment="1">
      <alignment horizontal="center" vertical="center"/>
    </xf>
    <xf numFmtId="0" fontId="10" fillId="0" borderId="17" xfId="11" applyFont="1" applyBorder="1" applyAlignment="1">
      <alignment horizontal="center" vertical="center"/>
    </xf>
    <xf numFmtId="0" fontId="13" fillId="0" borderId="5" xfId="11" applyFont="1" applyBorder="1" applyAlignment="1">
      <alignment horizontal="center"/>
    </xf>
    <xf numFmtId="174" fontId="14" fillId="0" borderId="5" xfId="53" applyNumberFormat="1" applyFont="1" applyBorder="1" applyAlignment="1" applyProtection="1">
      <alignment horizontal="center" vertical="center"/>
      <protection locked="0"/>
    </xf>
    <xf numFmtId="0" fontId="13" fillId="0" borderId="5" xfId="11" applyFont="1" applyBorder="1" applyAlignment="1">
      <alignment horizontal="center" vertical="center"/>
    </xf>
    <xf numFmtId="0" fontId="14" fillId="0" borderId="5" xfId="11" applyFont="1" applyBorder="1" applyAlignment="1">
      <alignment horizontal="center" vertical="center"/>
    </xf>
    <xf numFmtId="0" fontId="14" fillId="0" borderId="17" xfId="11" applyFont="1" applyBorder="1" applyAlignment="1">
      <alignment horizontal="center" vertical="center"/>
    </xf>
    <xf numFmtId="173" fontId="15" fillId="3" borderId="5" xfId="54" applyNumberFormat="1" applyFont="1" applyFill="1" applyBorder="1" applyAlignment="1" applyProtection="1">
      <alignment horizontal="center" vertical="center"/>
      <protection locked="0"/>
    </xf>
    <xf numFmtId="173" fontId="14" fillId="3" borderId="5" xfId="53" applyNumberFormat="1" applyFont="1" applyFill="1" applyBorder="1" applyAlignment="1" applyProtection="1">
      <alignment horizontal="center" vertical="center"/>
      <protection locked="0"/>
    </xf>
    <xf numFmtId="0" fontId="16" fillId="4" borderId="18" xfId="54" applyFont="1" applyFill="1" applyBorder="1" applyAlignment="1">
      <alignment horizontal="center"/>
    </xf>
    <xf numFmtId="0" fontId="17" fillId="4" borderId="17" xfId="54" applyFont="1" applyFill="1" applyBorder="1" applyAlignment="1">
      <alignment horizontal="center"/>
    </xf>
    <xf numFmtId="2" fontId="17" fillId="5" borderId="5" xfId="54" applyNumberFormat="1" applyFont="1" applyFill="1" applyBorder="1" applyAlignment="1">
      <alignment horizontal="center" vertical="center"/>
    </xf>
    <xf numFmtId="1" fontId="17" fillId="5" borderId="5" xfId="54" applyNumberFormat="1" applyFont="1" applyFill="1" applyBorder="1" applyAlignment="1">
      <alignment horizontal="center" vertical="center"/>
    </xf>
    <xf numFmtId="0" fontId="17" fillId="0" borderId="19" xfId="54" applyFont="1" applyBorder="1"/>
    <xf numFmtId="0" fontId="17" fillId="0" borderId="20" xfId="54" applyFont="1" applyBorder="1"/>
    <xf numFmtId="0" fontId="17" fillId="0" borderId="20" xfId="54" applyFont="1" applyBorder="1" applyProtection="1">
      <protection locked="0"/>
    </xf>
    <xf numFmtId="172" fontId="17" fillId="0" borderId="20" xfId="54" applyNumberFormat="1" applyFont="1" applyBorder="1" applyProtection="1">
      <protection locked="0"/>
    </xf>
    <xf numFmtId="173" fontId="17" fillId="0" borderId="20" xfId="54" applyNumberFormat="1" applyFont="1" applyBorder="1" applyProtection="1">
      <protection locked="0"/>
    </xf>
    <xf numFmtId="0" fontId="18" fillId="0" borderId="0" xfId="54" applyFont="1"/>
    <xf numFmtId="0" fontId="2" fillId="0" borderId="0" xfId="54" applyFont="1"/>
    <xf numFmtId="172" fontId="2" fillId="0" borderId="0" xfId="54" applyNumberFormat="1" applyFont="1"/>
    <xf numFmtId="173" fontId="2" fillId="0" borderId="0" xfId="54" applyNumberFormat="1" applyFont="1"/>
    <xf numFmtId="0" fontId="7" fillId="3" borderId="2" xfId="54" applyFont="1" applyFill="1" applyBorder="1" applyAlignment="1" applyProtection="1">
      <alignment vertical="center"/>
      <protection locked="0"/>
    </xf>
    <xf numFmtId="0" fontId="8" fillId="3" borderId="3" xfId="54" applyFont="1" applyFill="1" applyBorder="1" applyAlignment="1" applyProtection="1">
      <alignment vertical="center"/>
      <protection locked="0"/>
    </xf>
    <xf numFmtId="0" fontId="14" fillId="0" borderId="25" xfId="54" applyFont="1" applyBorder="1" applyProtection="1">
      <protection locked="0"/>
    </xf>
    <xf numFmtId="173" fontId="17" fillId="0" borderId="26" xfId="54" applyNumberFormat="1" applyFont="1" applyBorder="1" applyProtection="1">
      <protection locked="0"/>
    </xf>
    <xf numFmtId="0" fontId="17" fillId="0" borderId="26" xfId="54" applyFont="1" applyBorder="1" applyProtection="1">
      <protection locked="0"/>
    </xf>
    <xf numFmtId="0" fontId="8" fillId="0" borderId="2" xfId="54" applyFont="1" applyBorder="1" applyAlignment="1" applyProtection="1">
      <alignment horizontal="center" vertical="center" wrapText="1"/>
      <protection locked="0"/>
    </xf>
    <xf numFmtId="0" fontId="8" fillId="0" borderId="3" xfId="54" applyFont="1" applyBorder="1" applyAlignment="1" applyProtection="1">
      <alignment horizontal="center" vertical="center" wrapText="1"/>
      <protection locked="0"/>
    </xf>
    <xf numFmtId="0" fontId="9" fillId="0" borderId="4" xfId="54" applyFont="1" applyBorder="1" applyAlignment="1" applyProtection="1">
      <alignment horizontal="center" vertical="center" wrapText="1"/>
      <protection locked="0"/>
    </xf>
    <xf numFmtId="172" fontId="10" fillId="0" borderId="7" xfId="54" applyNumberFormat="1" applyFont="1" applyBorder="1" applyAlignment="1" applyProtection="1">
      <alignment horizontal="center" vertical="center" wrapText="1"/>
      <protection locked="0"/>
    </xf>
    <xf numFmtId="172" fontId="10" fillId="0" borderId="8" xfId="54" applyNumberFormat="1" applyFont="1" applyBorder="1" applyAlignment="1" applyProtection="1">
      <alignment horizontal="center" vertical="center" wrapText="1"/>
      <protection locked="0"/>
    </xf>
    <xf numFmtId="0" fontId="10" fillId="0" borderId="11" xfId="54" applyFont="1" applyBorder="1" applyAlignment="1">
      <alignment horizontal="center" vertical="center" wrapText="1"/>
    </xf>
    <xf numFmtId="0" fontId="10" fillId="0" borderId="12" xfId="54" applyFont="1" applyBorder="1" applyAlignment="1">
      <alignment horizontal="center" vertical="center" wrapText="1"/>
    </xf>
    <xf numFmtId="0" fontId="10" fillId="0" borderId="14" xfId="54" applyFont="1" applyBorder="1" applyAlignment="1">
      <alignment horizontal="left" vertical="center" wrapText="1"/>
    </xf>
    <xf numFmtId="0" fontId="10" fillId="0" borderId="15" xfId="54" applyFont="1" applyBorder="1" applyAlignment="1">
      <alignment horizontal="left" vertical="center"/>
    </xf>
    <xf numFmtId="0" fontId="10" fillId="0" borderId="6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0" borderId="6" xfId="54" applyFont="1" applyBorder="1" applyAlignment="1" applyProtection="1">
      <alignment horizontal="center" vertical="center" wrapText="1"/>
      <protection locked="0"/>
    </xf>
    <xf numFmtId="0" fontId="10" fillId="0" borderId="13" xfId="54" applyFont="1" applyBorder="1" applyAlignment="1" applyProtection="1">
      <alignment horizontal="center" vertical="center" wrapText="1"/>
      <protection locked="0"/>
    </xf>
    <xf numFmtId="0" fontId="11" fillId="2" borderId="9" xfId="54" applyFont="1" applyFill="1" applyBorder="1" applyAlignment="1" applyProtection="1">
      <alignment horizontal="center" vertical="center" wrapText="1"/>
      <protection locked="0"/>
    </xf>
    <xf numFmtId="0" fontId="11" fillId="2" borderId="13" xfId="54" applyFont="1" applyFill="1" applyBorder="1" applyAlignment="1" applyProtection="1">
      <alignment horizontal="center" vertical="center" wrapText="1"/>
      <protection locked="0"/>
    </xf>
    <xf numFmtId="172" fontId="10" fillId="0" borderId="9" xfId="54" applyNumberFormat="1" applyFont="1" applyBorder="1" applyAlignment="1" applyProtection="1">
      <alignment horizontal="center" vertical="center" wrapText="1"/>
      <protection locked="0"/>
    </xf>
    <xf numFmtId="172" fontId="10" fillId="0" borderId="13" xfId="54" applyNumberFormat="1" applyFont="1" applyBorder="1" applyAlignment="1" applyProtection="1">
      <alignment horizontal="center" vertical="center" wrapText="1"/>
      <protection locked="0"/>
    </xf>
    <xf numFmtId="172" fontId="11" fillId="2" borderId="9" xfId="53" applyNumberFormat="1" applyFont="1" applyFill="1" applyBorder="1" applyAlignment="1" applyProtection="1">
      <alignment horizontal="center" vertical="center"/>
      <protection locked="0"/>
    </xf>
    <xf numFmtId="172" fontId="11" fillId="2" borderId="13" xfId="53" applyNumberFormat="1" applyFont="1" applyFill="1" applyBorder="1" applyAlignment="1" applyProtection="1">
      <alignment horizontal="center" vertical="center"/>
      <protection locked="0"/>
    </xf>
    <xf numFmtId="172" fontId="10" fillId="0" borderId="6" xfId="54" applyNumberFormat="1" applyFont="1" applyBorder="1" applyAlignment="1" applyProtection="1">
      <alignment horizontal="center" vertical="center" wrapText="1"/>
      <protection locked="0"/>
    </xf>
    <xf numFmtId="172" fontId="11" fillId="2" borderId="9" xfId="53" applyNumberFormat="1" applyFont="1" applyFill="1" applyBorder="1" applyAlignment="1" applyProtection="1">
      <alignment horizontal="center" vertical="center" wrapText="1"/>
      <protection locked="0"/>
    </xf>
    <xf numFmtId="172" fontId="11" fillId="2" borderId="13" xfId="53" applyNumberFormat="1" applyFont="1" applyFill="1" applyBorder="1" applyAlignment="1" applyProtection="1">
      <alignment horizontal="center" vertical="center" wrapText="1"/>
      <protection locked="0"/>
    </xf>
    <xf numFmtId="173" fontId="10" fillId="0" borderId="9" xfId="54" applyNumberFormat="1" applyFont="1" applyBorder="1" applyAlignment="1" applyProtection="1">
      <alignment horizontal="center" vertical="center" wrapText="1"/>
      <protection locked="0"/>
    </xf>
    <xf numFmtId="173" fontId="10" fillId="0" borderId="13" xfId="54" applyNumberFormat="1" applyFont="1" applyBorder="1" applyAlignment="1" applyProtection="1">
      <alignment horizontal="center" vertical="center" wrapText="1"/>
      <protection locked="0"/>
    </xf>
    <xf numFmtId="0" fontId="10" fillId="0" borderId="21" xfId="54" applyFont="1" applyBorder="1" applyAlignment="1" applyProtection="1">
      <alignment horizontal="center" vertical="center" wrapText="1"/>
      <protection locked="0"/>
    </xf>
    <xf numFmtId="0" fontId="11" fillId="2" borderId="22" xfId="53" applyFont="1" applyFill="1" applyBorder="1" applyAlignment="1" applyProtection="1">
      <alignment horizontal="center" vertical="center"/>
      <protection locked="0"/>
    </xf>
    <xf numFmtId="0" fontId="11" fillId="2" borderId="6" xfId="53" applyFont="1" applyFill="1" applyBorder="1" applyAlignment="1" applyProtection="1">
      <alignment horizontal="center" vertical="center"/>
      <protection locked="0"/>
    </xf>
    <xf numFmtId="0" fontId="11" fillId="2" borderId="23" xfId="54" applyFont="1" applyFill="1" applyBorder="1" applyAlignment="1" applyProtection="1">
      <alignment horizontal="center" vertical="center"/>
      <protection locked="0"/>
    </xf>
    <xf numFmtId="0" fontId="11" fillId="2" borderId="24" xfId="54" applyFont="1" applyFill="1" applyBorder="1" applyAlignment="1" applyProtection="1">
      <alignment horizontal="center" vertical="center"/>
      <protection locked="0"/>
    </xf>
    <xf numFmtId="0" fontId="5" fillId="0" borderId="0" xfId="54" applyFont="1" applyAlignment="1">
      <alignment horizontal="center" vertical="center"/>
    </xf>
  </cellXfs>
  <cellStyles count="73">
    <cellStyle name="Hyperlink" xfId="1" builtinId="8"/>
    <cellStyle name="Hyperlink 2 2" xfId="2" xr:uid="{00000000-0005-0000-0000-000031000000}"/>
    <cellStyle name="Normal" xfId="0" builtinId="0"/>
    <cellStyle name="Normal 15 3" xfId="3" xr:uid="{00000000-0005-0000-0000-000032000000}"/>
    <cellStyle name="Normal 15 3 2" xfId="4" xr:uid="{00000000-0005-0000-0000-000033000000}"/>
    <cellStyle name="Normal 15 3 3" xfId="5" xr:uid="{00000000-0005-0000-0000-000034000000}"/>
    <cellStyle name="Normal 15 3 3 2" xfId="6" xr:uid="{00000000-0005-0000-0000-000035000000}"/>
    <cellStyle name="Normal 2" xfId="7" xr:uid="{00000000-0005-0000-0000-000036000000}"/>
    <cellStyle name="Normal 2 12 2" xfId="8" xr:uid="{00000000-0005-0000-0000-000037000000}"/>
    <cellStyle name="Normal 2 2" xfId="9" xr:uid="{00000000-0005-0000-0000-000038000000}"/>
    <cellStyle name="Normal 2 2 14" xfId="10" xr:uid="{00000000-0005-0000-0000-000039000000}"/>
    <cellStyle name="Normal 2 3" xfId="11" xr:uid="{00000000-0005-0000-0000-00003A000000}"/>
    <cellStyle name="Normal 2 3 10" xfId="12" xr:uid="{00000000-0005-0000-0000-00003B000000}"/>
    <cellStyle name="Normal 2 3 2 8" xfId="13" xr:uid="{00000000-0005-0000-0000-00003C000000}"/>
    <cellStyle name="Normal 2 3 2 9" xfId="14" xr:uid="{00000000-0005-0000-0000-00003D000000}"/>
    <cellStyle name="Normal 25 2 7" xfId="15" xr:uid="{00000000-0005-0000-0000-00003E000000}"/>
    <cellStyle name="Normal 25 8" xfId="16" xr:uid="{00000000-0005-0000-0000-00003F000000}"/>
    <cellStyle name="Normal 3 3 8" xfId="17" xr:uid="{00000000-0005-0000-0000-000040000000}"/>
    <cellStyle name="Normal 34 2" xfId="18" xr:uid="{00000000-0005-0000-0000-000041000000}"/>
    <cellStyle name="Normal 34 2 4" xfId="19" xr:uid="{00000000-0005-0000-0000-000042000000}"/>
    <cellStyle name="Normal 34 2 4 2" xfId="20" xr:uid="{00000000-0005-0000-0000-000043000000}"/>
    <cellStyle name="Normal 34 2 4 3" xfId="21" xr:uid="{00000000-0005-0000-0000-000044000000}"/>
    <cellStyle name="Normal 34 2 4 5" xfId="22" xr:uid="{00000000-0005-0000-0000-000045000000}"/>
    <cellStyle name="Normal 36" xfId="23" xr:uid="{00000000-0005-0000-0000-000046000000}"/>
    <cellStyle name="Normal 4 2" xfId="24" xr:uid="{00000000-0005-0000-0000-000047000000}"/>
    <cellStyle name="Normal 4 2 2 5" xfId="25" xr:uid="{00000000-0005-0000-0000-000048000000}"/>
    <cellStyle name="Normal 4 2 2 5 2" xfId="26" xr:uid="{00000000-0005-0000-0000-000049000000}"/>
    <cellStyle name="Normal 4 2 2 5 2 2 2" xfId="27" xr:uid="{00000000-0005-0000-0000-00004A000000}"/>
    <cellStyle name="Normal 4 2 2 5 3" xfId="28" xr:uid="{00000000-0005-0000-0000-00004B000000}"/>
    <cellStyle name="Normal 4 2 2 5 3 3" xfId="29" xr:uid="{00000000-0005-0000-0000-00004C000000}"/>
    <cellStyle name="Normal 4 2 2 5 4" xfId="30" xr:uid="{00000000-0005-0000-0000-00004D000000}"/>
    <cellStyle name="Normal 5" xfId="31" xr:uid="{00000000-0005-0000-0000-00004E000000}"/>
    <cellStyle name="Normal 6 2 10 2 2" xfId="32" xr:uid="{00000000-0005-0000-0000-00004F000000}"/>
    <cellStyle name="Normal 6 2 2" xfId="33" xr:uid="{00000000-0005-0000-0000-000050000000}"/>
    <cellStyle name="Normal 6 2 2 2 2 2" xfId="34" xr:uid="{00000000-0005-0000-0000-000051000000}"/>
    <cellStyle name="Normal 7 2 2 2" xfId="35" xr:uid="{00000000-0005-0000-0000-000052000000}"/>
    <cellStyle name="Normal 7 2 2 2 2" xfId="36" xr:uid="{00000000-0005-0000-0000-000053000000}"/>
    <cellStyle name="Normal 7 2 2 2 3" xfId="37" xr:uid="{00000000-0005-0000-0000-000054000000}"/>
    <cellStyle name="Normal 8" xfId="38" xr:uid="{00000000-0005-0000-0000-000055000000}"/>
    <cellStyle name="Normal 8 10" xfId="39" xr:uid="{00000000-0005-0000-0000-000056000000}"/>
    <cellStyle name="Normal 8 10 2" xfId="40" xr:uid="{00000000-0005-0000-0000-000057000000}"/>
    <cellStyle name="Normal 8 2 3 2" xfId="41" xr:uid="{00000000-0005-0000-0000-000058000000}"/>
    <cellStyle name="Normal 8 2 3 2 2" xfId="42" xr:uid="{00000000-0005-0000-0000-000059000000}"/>
    <cellStyle name="Normal 8 2 3 2 4" xfId="43" xr:uid="{00000000-0005-0000-0000-00005A000000}"/>
    <cellStyle name="Normal 8 2 3 2 4 2" xfId="44" xr:uid="{00000000-0005-0000-0000-00005B000000}"/>
    <cellStyle name="Normal 8 2 3 2 4 3" xfId="45" xr:uid="{00000000-0005-0000-0000-00005C000000}"/>
    <cellStyle name="Normal 8 2 3 2 4 4" xfId="46" xr:uid="{00000000-0005-0000-0000-00005D000000}"/>
    <cellStyle name="Normal 8 8" xfId="47" xr:uid="{00000000-0005-0000-0000-00005E000000}"/>
    <cellStyle name="Percent 2 5" xfId="48" xr:uid="{00000000-0005-0000-0000-00005F000000}"/>
    <cellStyle name="Percent 2 5 2" xfId="49" xr:uid="{00000000-0005-0000-0000-000060000000}"/>
    <cellStyle name="Percent 6" xfId="50" xr:uid="{00000000-0005-0000-0000-000061000000}"/>
    <cellStyle name="Percent 6 2" xfId="51" xr:uid="{00000000-0005-0000-0000-000062000000}"/>
    <cellStyle name="一般_吸塵器測試數據表 2" xfId="52" xr:uid="{00000000-0005-0000-0000-000063000000}"/>
    <cellStyle name="一般_吸塵器測試數據表 2 2" xfId="53" xr:uid="{00000000-0005-0000-0000-000064000000}"/>
    <cellStyle name="一般_吸塵器測試數據表 2 2 2" xfId="54" xr:uid="{00000000-0005-0000-0000-000065000000}"/>
    <cellStyle name="常规 2" xfId="55" xr:uid="{00000000-0005-0000-0000-000066000000}"/>
    <cellStyle name="常规 2 14" xfId="56" xr:uid="{00000000-0005-0000-0000-000067000000}"/>
    <cellStyle name="常规 2 2" xfId="57" xr:uid="{00000000-0005-0000-0000-000068000000}"/>
    <cellStyle name="常规 2 3" xfId="58" xr:uid="{00000000-0005-0000-0000-000069000000}"/>
    <cellStyle name="常规 2 3 11" xfId="59" xr:uid="{00000000-0005-0000-0000-00006A000000}"/>
    <cellStyle name="常规 2 3 11 2 2 2 2" xfId="60" xr:uid="{00000000-0005-0000-0000-00006B000000}"/>
    <cellStyle name="常规 2 3 11 2 3" xfId="61" xr:uid="{00000000-0005-0000-0000-00006C000000}"/>
    <cellStyle name="常规 2 3 11 2 7" xfId="62" xr:uid="{00000000-0005-0000-0000-00006D000000}"/>
    <cellStyle name="常规 29" xfId="63" xr:uid="{00000000-0005-0000-0000-00006E000000}"/>
    <cellStyle name="常规 29 2" xfId="64" xr:uid="{00000000-0005-0000-0000-00006F000000}"/>
    <cellStyle name="常规 3" xfId="65" xr:uid="{00000000-0005-0000-0000-000070000000}"/>
    <cellStyle name="常规 3 2" xfId="66" xr:uid="{00000000-0005-0000-0000-000071000000}"/>
    <cellStyle name="常规 3 2 2" xfId="67" xr:uid="{00000000-0005-0000-0000-000072000000}"/>
    <cellStyle name="常规 3 2 2 2" xfId="68" xr:uid="{00000000-0005-0000-0000-000073000000}"/>
    <cellStyle name="常规 4 2" xfId="69" xr:uid="{00000000-0005-0000-0000-000074000000}"/>
    <cellStyle name="常规 4 2 6" xfId="70" xr:uid="{00000000-0005-0000-0000-000075000000}"/>
    <cellStyle name="常规 4 2 6 2" xfId="71" xr:uid="{00000000-0005-0000-0000-000076000000}"/>
    <cellStyle name="超链接 2" xfId="72" xr:uid="{00000000-0005-0000-0000-000077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0</xdr:row>
      <xdr:rowOff>44824</xdr:rowOff>
    </xdr:from>
    <xdr:to>
      <xdr:col>2</xdr:col>
      <xdr:colOff>221129</xdr:colOff>
      <xdr:row>1</xdr:row>
      <xdr:rowOff>197859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5880" y="44450"/>
          <a:ext cx="2365375" cy="438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homas_vu_sharkninja_com/Documents/Pictures/LA555/Dechang%20X5%20LA555%20LA700%20LA702%20VN%20EB2%20Sample%20report%20202401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LA555 product CDF inf"/>
      <sheetName val="LA700 product CDF inf"/>
      <sheetName val="LA702 product CDF inf"/>
      <sheetName val="AZ3002 product Picture"/>
      <sheetName val="AZ3000 product CDF inf"/>
      <sheetName val="AZ3000 product Picture"/>
      <sheetName val="Data record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registeryourshark.com/reg/?m=NV360&amp;s=Z02UX502Z3K6" TargetMode="External"/><Relationship Id="rId117" Type="http://schemas.openxmlformats.org/officeDocument/2006/relationships/hyperlink" Target="http://www.registeryourshark.com/reg/?m=NV360&amp;s=Z01UX502Z8R5" TargetMode="External"/><Relationship Id="rId21" Type="http://schemas.openxmlformats.org/officeDocument/2006/relationships/hyperlink" Target="http://www.registeryourshark.com/reg/?m=NV360&amp;s=Z02UX502Z5H0" TargetMode="External"/><Relationship Id="rId42" Type="http://schemas.openxmlformats.org/officeDocument/2006/relationships/hyperlink" Target="http://www.registeryourshark.com/reg/?m=NV360&amp;s=Z02UX502Z0S7" TargetMode="External"/><Relationship Id="rId47" Type="http://schemas.openxmlformats.org/officeDocument/2006/relationships/hyperlink" Target="http://www.registeryourshark.com/reg/?m=NV360&amp;s=Z02UX503Z6Z6" TargetMode="External"/><Relationship Id="rId63" Type="http://schemas.openxmlformats.org/officeDocument/2006/relationships/hyperlink" Target="http://www.registeryourshark.com/reg/?m=NV360&amp;s=Z02UX503Z6A0" TargetMode="External"/><Relationship Id="rId68" Type="http://schemas.openxmlformats.org/officeDocument/2006/relationships/hyperlink" Target="http://www.registeryourshark.com/reg/?m=NV360&amp;s=Z02UX503Z3Q7" TargetMode="External"/><Relationship Id="rId84" Type="http://schemas.openxmlformats.org/officeDocument/2006/relationships/hyperlink" Target="http://www.registeryourshark.com/reg/?m=NV360&amp;s=Z02UX503Z7A1" TargetMode="External"/><Relationship Id="rId89" Type="http://schemas.openxmlformats.org/officeDocument/2006/relationships/hyperlink" Target="http://www.registeryourshark.com/reg/?m=NV360&amp;s=Z01UX502Z6S1" TargetMode="External"/><Relationship Id="rId112" Type="http://schemas.openxmlformats.org/officeDocument/2006/relationships/hyperlink" Target="http://www.registeryourshark.com/reg/?m=NV360&amp;s=Z01UX502Z8H9" TargetMode="External"/><Relationship Id="rId16" Type="http://schemas.openxmlformats.org/officeDocument/2006/relationships/hyperlink" Target="http://www.registeryourshark.com/reg/?m=NV360&amp;s=Z02UX502Z5H6" TargetMode="External"/><Relationship Id="rId107" Type="http://schemas.openxmlformats.org/officeDocument/2006/relationships/hyperlink" Target="http://www.registeryourshark.com/reg/?m=NV360&amp;s=Z01UX502Z6K5" TargetMode="External"/><Relationship Id="rId11" Type="http://schemas.openxmlformats.org/officeDocument/2006/relationships/hyperlink" Target="http://www.registeryourshark.com/reg/?m=NV360&amp;s=Z02UX502Z7R6" TargetMode="External"/><Relationship Id="rId32" Type="http://schemas.openxmlformats.org/officeDocument/2006/relationships/hyperlink" Target="http://www.registeryourshark.com/reg/?m=NV360&amp;s=Z02UX502Z3F0" TargetMode="External"/><Relationship Id="rId37" Type="http://schemas.openxmlformats.org/officeDocument/2006/relationships/hyperlink" Target="http://www.registeryourshark.com/reg/?m=NV360&amp;s=Z02UX502Z0J4" TargetMode="External"/><Relationship Id="rId53" Type="http://schemas.openxmlformats.org/officeDocument/2006/relationships/hyperlink" Target="http://www.registeryourshark.com/reg/?m=NV360&amp;s=Z02UX503Z8H0" TargetMode="External"/><Relationship Id="rId58" Type="http://schemas.openxmlformats.org/officeDocument/2006/relationships/hyperlink" Target="http://www.registeryourshark.com/reg/?m=NV360&amp;s=Z02UX503Z7K9" TargetMode="External"/><Relationship Id="rId74" Type="http://schemas.openxmlformats.org/officeDocument/2006/relationships/hyperlink" Target="http://www.registeryourshark.com/reg/?m=NV360&amp;s=Z02UX503Z9Z5" TargetMode="External"/><Relationship Id="rId79" Type="http://schemas.openxmlformats.org/officeDocument/2006/relationships/hyperlink" Target="http://www.registeryourshark.com/reg/?m=NV360&amp;s=Z02UX503Z5Q3" TargetMode="External"/><Relationship Id="rId102" Type="http://schemas.openxmlformats.org/officeDocument/2006/relationships/hyperlink" Target="http://www.registeryourshark.com/reg/?m=NV360&amp;s=Z01UX502A0J8" TargetMode="External"/><Relationship Id="rId123" Type="http://schemas.openxmlformats.org/officeDocument/2006/relationships/hyperlink" Target="http://www.registeryourshark.com/reg/?m=NV360&amp;s=Z01UX502Z2F1" TargetMode="External"/><Relationship Id="rId5" Type="http://schemas.openxmlformats.org/officeDocument/2006/relationships/hyperlink" Target="http://www.registeryourshark.com/reg/?m=NV360&amp;s=Z02UX502Z7J4" TargetMode="External"/><Relationship Id="rId90" Type="http://schemas.openxmlformats.org/officeDocument/2006/relationships/hyperlink" Target="http://www.registeryourshark.com/reg/?m=NV360&amp;s=Z01UX502Z9J1" TargetMode="External"/><Relationship Id="rId95" Type="http://schemas.openxmlformats.org/officeDocument/2006/relationships/hyperlink" Target="http://www.registeryourshark.com/reg/?m=NV360&amp;s=Z01UX502Z7Z0" TargetMode="External"/><Relationship Id="rId22" Type="http://schemas.openxmlformats.org/officeDocument/2006/relationships/hyperlink" Target="http://www.registeryourshark.com/reg/?m=NV360&amp;s=Z02UX502Z7J2" TargetMode="External"/><Relationship Id="rId27" Type="http://schemas.openxmlformats.org/officeDocument/2006/relationships/hyperlink" Target="http://www.registeryourshark.com/reg/?m=NV360&amp;s=Z02UX502Z7R5" TargetMode="External"/><Relationship Id="rId43" Type="http://schemas.openxmlformats.org/officeDocument/2006/relationships/hyperlink" Target="http://www.registeryourshark.com/reg/?m=NV360&amp;s=Z02UX502Z0J6" TargetMode="External"/><Relationship Id="rId48" Type="http://schemas.openxmlformats.org/officeDocument/2006/relationships/hyperlink" Target="http://www.registeryourshark.com/reg/?m=NV360&amp;s=Z02UX503Z6S2" TargetMode="External"/><Relationship Id="rId64" Type="http://schemas.openxmlformats.org/officeDocument/2006/relationships/hyperlink" Target="http://www.registeryourshark.com/reg/?m=NV360&amp;s=Z02UX503Z7K8" TargetMode="External"/><Relationship Id="rId69" Type="http://schemas.openxmlformats.org/officeDocument/2006/relationships/hyperlink" Target="http://www.registeryourshark.com/reg/?m=NV360&amp;s=Z02UX503Z4K0" TargetMode="External"/><Relationship Id="rId113" Type="http://schemas.openxmlformats.org/officeDocument/2006/relationships/hyperlink" Target="http://www.registeryourshark.com/reg/?m=NV360&amp;s=Z01UX502Z9Z9" TargetMode="External"/><Relationship Id="rId118" Type="http://schemas.openxmlformats.org/officeDocument/2006/relationships/hyperlink" Target="http://www.registeryourshark.com/reg/?m=NV360&amp;s=Z01UX502Z5S6" TargetMode="External"/><Relationship Id="rId80" Type="http://schemas.openxmlformats.org/officeDocument/2006/relationships/hyperlink" Target="http://www.registeryourshark.com/reg/?m=NV360&amp;s=Z02UX503Z4F1" TargetMode="External"/><Relationship Id="rId85" Type="http://schemas.openxmlformats.org/officeDocument/2006/relationships/hyperlink" Target="http://www.registeryourshark.com/reg/?m=NV360&amp;s=Z01UX502A0J4" TargetMode="External"/><Relationship Id="rId12" Type="http://schemas.openxmlformats.org/officeDocument/2006/relationships/hyperlink" Target="http://www.registeryourshark.com/reg/?m=NV360&amp;s=Z02UX502Z5J5" TargetMode="External"/><Relationship Id="rId17" Type="http://schemas.openxmlformats.org/officeDocument/2006/relationships/hyperlink" Target="http://www.registeryourshark.com/reg/?m=NV360&amp;s=Z02UX502Z4Q3" TargetMode="External"/><Relationship Id="rId33" Type="http://schemas.openxmlformats.org/officeDocument/2006/relationships/hyperlink" Target="http://www.registeryourshark.com/reg/?m=NV360&amp;s=Z02UX502Z8J4" TargetMode="External"/><Relationship Id="rId38" Type="http://schemas.openxmlformats.org/officeDocument/2006/relationships/hyperlink" Target="http://www.registeryourshark.com/reg/?m=NV360&amp;s=Z02UX502Z3K5" TargetMode="External"/><Relationship Id="rId59" Type="http://schemas.openxmlformats.org/officeDocument/2006/relationships/hyperlink" Target="http://www.registeryourshark.com/reg/?m=NV360&amp;s=Z03UX502A0Z9" TargetMode="External"/><Relationship Id="rId103" Type="http://schemas.openxmlformats.org/officeDocument/2006/relationships/hyperlink" Target="http://www.registeryourshark.com/reg/?m=NV360&amp;s=Z01UX502A0A0" TargetMode="External"/><Relationship Id="rId108" Type="http://schemas.openxmlformats.org/officeDocument/2006/relationships/hyperlink" Target="http://www.registeryourshark.com/reg/?m=NV360&amp;s=Z01UX502Z6F0" TargetMode="External"/><Relationship Id="rId124" Type="http://schemas.openxmlformats.org/officeDocument/2006/relationships/hyperlink" Target="http://www.registeryourshark.com/reg/?m=NV360&amp;s=Z01UX502Z4S8" TargetMode="External"/><Relationship Id="rId54" Type="http://schemas.openxmlformats.org/officeDocument/2006/relationships/hyperlink" Target="http://www.registeryourshark.com/reg/?m=NV360&amp;s=Z02UX503Z4S9" TargetMode="External"/><Relationship Id="rId70" Type="http://schemas.openxmlformats.org/officeDocument/2006/relationships/hyperlink" Target="http://www.registeryourshark.com/reg/?m=NV360&amp;s=Z02UX503Z4Z7" TargetMode="External"/><Relationship Id="rId75" Type="http://schemas.openxmlformats.org/officeDocument/2006/relationships/hyperlink" Target="http://www.registeryourshark.com/reg/?m=NV360&amp;s=Z02UX503Z8H2" TargetMode="External"/><Relationship Id="rId91" Type="http://schemas.openxmlformats.org/officeDocument/2006/relationships/hyperlink" Target="http://www.registeryourshark.com/reg/?m=NV360&amp;s=Z01UX502Z8F6" TargetMode="External"/><Relationship Id="rId96" Type="http://schemas.openxmlformats.org/officeDocument/2006/relationships/hyperlink" Target="http://www.registeryourshark.com/reg/?m=NV360&amp;s=Z01UX502Z9S7" TargetMode="External"/><Relationship Id="rId1" Type="http://schemas.openxmlformats.org/officeDocument/2006/relationships/hyperlink" Target="http://www.registeryourshark.com/reg/?m=NV360&amp;s=Z02UX502Z6Z9" TargetMode="External"/><Relationship Id="rId6" Type="http://schemas.openxmlformats.org/officeDocument/2006/relationships/hyperlink" Target="http://www.registeryourshark.com/reg/?m=NV360&amp;s=Z02UX502Z6H8" TargetMode="External"/><Relationship Id="rId23" Type="http://schemas.openxmlformats.org/officeDocument/2006/relationships/hyperlink" Target="http://www.registeryourshark.com/reg/?m=NV360&amp;s=Z02UX502Z1R9" TargetMode="External"/><Relationship Id="rId28" Type="http://schemas.openxmlformats.org/officeDocument/2006/relationships/hyperlink" Target="http://www.registeryourshark.com/reg/?m=NV360&amp;s=Z02UX502Z8A3" TargetMode="External"/><Relationship Id="rId49" Type="http://schemas.openxmlformats.org/officeDocument/2006/relationships/hyperlink" Target="http://www.registeryourshark.com/reg/?m=NV360&amp;s=Z02UX503Z6S4" TargetMode="External"/><Relationship Id="rId114" Type="http://schemas.openxmlformats.org/officeDocument/2006/relationships/hyperlink" Target="http://www.registeryourshark.com/reg/?m=NV360&amp;s=Z01UX502Z9U5" TargetMode="External"/><Relationship Id="rId119" Type="http://schemas.openxmlformats.org/officeDocument/2006/relationships/hyperlink" Target="http://www.registeryourshark.com/reg/?m=NV360&amp;s=Z01UX502Z2S7" TargetMode="External"/><Relationship Id="rId44" Type="http://schemas.openxmlformats.org/officeDocument/2006/relationships/hyperlink" Target="http://www.registeryourshark.com/reg/?m=NV360&amp;s=Z02UX502Z0J2" TargetMode="External"/><Relationship Id="rId60" Type="http://schemas.openxmlformats.org/officeDocument/2006/relationships/hyperlink" Target="http://www.registeryourshark.com/reg/?m=NV360&amp;s=Z02UX503Z6S9" TargetMode="External"/><Relationship Id="rId65" Type="http://schemas.openxmlformats.org/officeDocument/2006/relationships/hyperlink" Target="http://www.registeryourshark.com/reg/?m=NV360&amp;s=Z02UX503Z6S3" TargetMode="External"/><Relationship Id="rId81" Type="http://schemas.openxmlformats.org/officeDocument/2006/relationships/hyperlink" Target="http://www.registeryourshark.com/reg/?m=NV360&amp;s=Z02UX503Z3K1" TargetMode="External"/><Relationship Id="rId86" Type="http://schemas.openxmlformats.org/officeDocument/2006/relationships/hyperlink" Target="http://www.registeryourshark.com/reg/?m=NV360&amp;s=Z01UX502A0J3" TargetMode="External"/><Relationship Id="rId4" Type="http://schemas.openxmlformats.org/officeDocument/2006/relationships/hyperlink" Target="http://www.registeryourshark.com/reg/?m=NV360&amp;s=Z02UX502Z7R8" TargetMode="External"/><Relationship Id="rId9" Type="http://schemas.openxmlformats.org/officeDocument/2006/relationships/hyperlink" Target="http://www.registeryourshark.com/reg/?m=NV360&amp;s=Z02UX502Z6R2" TargetMode="External"/><Relationship Id="rId13" Type="http://schemas.openxmlformats.org/officeDocument/2006/relationships/hyperlink" Target="http://www.registeryourshark.com/reg/?m=NV360&amp;s=Z02UX502Z8R8" TargetMode="External"/><Relationship Id="rId18" Type="http://schemas.openxmlformats.org/officeDocument/2006/relationships/hyperlink" Target="http://www.registeryourshark.com/reg/?m=NV360&amp;s=Z02UX502Z4Q2" TargetMode="External"/><Relationship Id="rId39" Type="http://schemas.openxmlformats.org/officeDocument/2006/relationships/hyperlink" Target="http://www.registeryourshark.com/reg/?m=NV360&amp;s=Z02UX502Z3K7" TargetMode="External"/><Relationship Id="rId109" Type="http://schemas.openxmlformats.org/officeDocument/2006/relationships/hyperlink" Target="http://www.registeryourshark.com/reg/?m=NV360&amp;s=Z01UX502Z6A9" TargetMode="External"/><Relationship Id="rId34" Type="http://schemas.openxmlformats.org/officeDocument/2006/relationships/hyperlink" Target="http://www.registeryourshark.com/reg/?m=NV360&amp;s=Z02UX502Z5Z7" TargetMode="External"/><Relationship Id="rId50" Type="http://schemas.openxmlformats.org/officeDocument/2006/relationships/hyperlink" Target="http://www.registeryourshark.com/reg/?m=NV360&amp;s=Z02UX503Z8Z0" TargetMode="External"/><Relationship Id="rId55" Type="http://schemas.openxmlformats.org/officeDocument/2006/relationships/hyperlink" Target="http://www.registeryourshark.com/reg/?m=NV360&amp;s=Z02UX503Z4F5" TargetMode="External"/><Relationship Id="rId76" Type="http://schemas.openxmlformats.org/officeDocument/2006/relationships/hyperlink" Target="http://www.registeryourshark.com/reg/?m=NV360&amp;s=Z02UX503Z8U7" TargetMode="External"/><Relationship Id="rId97" Type="http://schemas.openxmlformats.org/officeDocument/2006/relationships/hyperlink" Target="http://www.registeryourshark.com/reg/?m=NV360&amp;s=Z01UX502Z8S6" TargetMode="External"/><Relationship Id="rId104" Type="http://schemas.openxmlformats.org/officeDocument/2006/relationships/hyperlink" Target="http://www.registeryourshark.com/reg/?m=NV360&amp;s=Z01UX502Z9J0" TargetMode="External"/><Relationship Id="rId120" Type="http://schemas.openxmlformats.org/officeDocument/2006/relationships/hyperlink" Target="http://www.registeryourshark.com/reg/?m=NV360&amp;s=Z01UX502Z5K1" TargetMode="External"/><Relationship Id="rId7" Type="http://schemas.openxmlformats.org/officeDocument/2006/relationships/hyperlink" Target="http://www.registeryourshark.com/reg/?m=NV360&amp;s=Z02UX502Z8Q3" TargetMode="External"/><Relationship Id="rId71" Type="http://schemas.openxmlformats.org/officeDocument/2006/relationships/hyperlink" Target="http://www.registeryourshark.com/reg/?m=NV360&amp;s=Z02UX503Z3Q5" TargetMode="External"/><Relationship Id="rId92" Type="http://schemas.openxmlformats.org/officeDocument/2006/relationships/hyperlink" Target="http://www.registeryourshark.com/reg/?m=NV360&amp;s=Z01UX502Z7U9" TargetMode="External"/><Relationship Id="rId2" Type="http://schemas.openxmlformats.org/officeDocument/2006/relationships/hyperlink" Target="http://www.registeryourshark.com/reg/?m=NV360&amp;s=Z02UX502Z5Q7" TargetMode="External"/><Relationship Id="rId29" Type="http://schemas.openxmlformats.org/officeDocument/2006/relationships/hyperlink" Target="http://www.registeryourshark.com/reg/?m=NV360&amp;s=Z02UX502Z3U1" TargetMode="External"/><Relationship Id="rId24" Type="http://schemas.openxmlformats.org/officeDocument/2006/relationships/hyperlink" Target="http://www.registeryourshark.com/reg/?m=NV360&amp;s=Z02UX502Z0S8" TargetMode="External"/><Relationship Id="rId40" Type="http://schemas.openxmlformats.org/officeDocument/2006/relationships/hyperlink" Target="http://www.registeryourshark.com/reg/?m=NV360&amp;s=Z02UX502Z2S4" TargetMode="External"/><Relationship Id="rId45" Type="http://schemas.openxmlformats.org/officeDocument/2006/relationships/hyperlink" Target="http://www.registeryourshark.com/reg/?m=NV360&amp;s=Z02UX503Z7A9" TargetMode="External"/><Relationship Id="rId66" Type="http://schemas.openxmlformats.org/officeDocument/2006/relationships/hyperlink" Target="http://www.registeryourshark.com/reg/?m=NV360&amp;s=Z02UX503Z6Z9" TargetMode="External"/><Relationship Id="rId87" Type="http://schemas.openxmlformats.org/officeDocument/2006/relationships/hyperlink" Target="http://www.registeryourshark.com/reg/?m=NV360&amp;s=Z01UX502Z6U1" TargetMode="External"/><Relationship Id="rId110" Type="http://schemas.openxmlformats.org/officeDocument/2006/relationships/hyperlink" Target="http://www.registeryourshark.com/reg/?m=NV360&amp;s=Z01UX502Z6U2" TargetMode="External"/><Relationship Id="rId115" Type="http://schemas.openxmlformats.org/officeDocument/2006/relationships/hyperlink" Target="http://www.registeryourshark.com/reg/?m=NV360&amp;s=Z01UX502Z6F1" TargetMode="External"/><Relationship Id="rId61" Type="http://schemas.openxmlformats.org/officeDocument/2006/relationships/hyperlink" Target="http://www.registeryourshark.com/reg/?m=NV360&amp;s=Z02UX503Z7F0" TargetMode="External"/><Relationship Id="rId82" Type="http://schemas.openxmlformats.org/officeDocument/2006/relationships/hyperlink" Target="http://www.registeryourshark.com/reg/?m=NV360&amp;s=Z02UX503Z5Q2" TargetMode="External"/><Relationship Id="rId19" Type="http://schemas.openxmlformats.org/officeDocument/2006/relationships/hyperlink" Target="http://www.registeryourshark.com/reg/?m=NV360&amp;s=Z02UX502Z7J3" TargetMode="External"/><Relationship Id="rId14" Type="http://schemas.openxmlformats.org/officeDocument/2006/relationships/hyperlink" Target="http://www.registeryourshark.com/reg/?m=NV360&amp;s=Z02UX502Z6Z7" TargetMode="External"/><Relationship Id="rId30" Type="http://schemas.openxmlformats.org/officeDocument/2006/relationships/hyperlink" Target="http://www.registeryourshark.com/reg/?m=NV360&amp;s=Z02UX502Z3U5" TargetMode="External"/><Relationship Id="rId35" Type="http://schemas.openxmlformats.org/officeDocument/2006/relationships/hyperlink" Target="http://www.registeryourshark.com/reg/?m=NV360&amp;s=Z02UX502Z5Z6" TargetMode="External"/><Relationship Id="rId56" Type="http://schemas.openxmlformats.org/officeDocument/2006/relationships/hyperlink" Target="http://www.registeryourshark.com/reg/?m=NV360&amp;s=Z02UX503Z3Q6" TargetMode="External"/><Relationship Id="rId77" Type="http://schemas.openxmlformats.org/officeDocument/2006/relationships/hyperlink" Target="http://www.registeryourshark.com/reg/?m=NV360&amp;s=Z02UX503Z9Z3" TargetMode="External"/><Relationship Id="rId100" Type="http://schemas.openxmlformats.org/officeDocument/2006/relationships/hyperlink" Target="http://www.registeryourshark.com/reg/?m=NV360&amp;s=Z01UX502Z7F9" TargetMode="External"/><Relationship Id="rId105" Type="http://schemas.openxmlformats.org/officeDocument/2006/relationships/hyperlink" Target="http://www.registeryourshark.com/reg/?m=NV360&amp;s=Z01UX502Z9U7" TargetMode="External"/><Relationship Id="rId8" Type="http://schemas.openxmlformats.org/officeDocument/2006/relationships/hyperlink" Target="http://www.registeryourshark.com/reg/?m=NV360&amp;s=Z02UX502Z8A5" TargetMode="External"/><Relationship Id="rId51" Type="http://schemas.openxmlformats.org/officeDocument/2006/relationships/hyperlink" Target="http://www.registeryourshark.com/reg/?m=NV360&amp;s=Z02UX503Z8Z4" TargetMode="External"/><Relationship Id="rId72" Type="http://schemas.openxmlformats.org/officeDocument/2006/relationships/hyperlink" Target="http://www.registeryourshark.com/reg/?m=NV360&amp;s=Z02UX503Z8Z3" TargetMode="External"/><Relationship Id="rId93" Type="http://schemas.openxmlformats.org/officeDocument/2006/relationships/hyperlink" Target="http://www.registeryourshark.com/reg/?m=NV360&amp;s=Z01UX502Z8H8" TargetMode="External"/><Relationship Id="rId98" Type="http://schemas.openxmlformats.org/officeDocument/2006/relationships/hyperlink" Target="http://www.registeryourshark.com/reg/?m=NV360&amp;s=Z01UX502Z8Z0" TargetMode="External"/><Relationship Id="rId121" Type="http://schemas.openxmlformats.org/officeDocument/2006/relationships/hyperlink" Target="http://www.registeryourshark.com/reg/?m=NV360&amp;s=Z01UX502Z4R0" TargetMode="External"/><Relationship Id="rId3" Type="http://schemas.openxmlformats.org/officeDocument/2006/relationships/hyperlink" Target="http://www.registeryourshark.com/reg/?m=NV360&amp;s=Z02UX502Z7Z6" TargetMode="External"/><Relationship Id="rId25" Type="http://schemas.openxmlformats.org/officeDocument/2006/relationships/hyperlink" Target="http://www.registeryourshark.com/reg/?m=NV360&amp;s=Z02UX502Z3U4" TargetMode="External"/><Relationship Id="rId46" Type="http://schemas.openxmlformats.org/officeDocument/2006/relationships/hyperlink" Target="http://www.registeryourshark.com/reg/?m=NV360&amp;s=Z02UX503Z6J3" TargetMode="External"/><Relationship Id="rId67" Type="http://schemas.openxmlformats.org/officeDocument/2006/relationships/hyperlink" Target="http://www.registeryourshark.com/reg/?m=NV360&amp;s=Z02UX503Z7K7" TargetMode="External"/><Relationship Id="rId116" Type="http://schemas.openxmlformats.org/officeDocument/2006/relationships/hyperlink" Target="http://www.registeryourshark.com/reg/?m=NV360&amp;s=Z01UX502Z7Q2" TargetMode="External"/><Relationship Id="rId20" Type="http://schemas.openxmlformats.org/officeDocument/2006/relationships/hyperlink" Target="http://www.registeryourshark.com/reg/?m=NV360&amp;s=Z02UX502Z6Z5" TargetMode="External"/><Relationship Id="rId41" Type="http://schemas.openxmlformats.org/officeDocument/2006/relationships/hyperlink" Target="http://www.registeryourshark.com/reg/?m=NV360&amp;s=Z02UX502Z2J7" TargetMode="External"/><Relationship Id="rId62" Type="http://schemas.openxmlformats.org/officeDocument/2006/relationships/hyperlink" Target="http://www.registeryourshark.com/reg/?m=NV360&amp;s=Z02UX503Z6J7" TargetMode="External"/><Relationship Id="rId83" Type="http://schemas.openxmlformats.org/officeDocument/2006/relationships/hyperlink" Target="http://www.registeryourshark.com/reg/?m=NV360&amp;s=Z02UX503Z7K0" TargetMode="External"/><Relationship Id="rId88" Type="http://schemas.openxmlformats.org/officeDocument/2006/relationships/hyperlink" Target="http://www.registeryourshark.com/reg/?m=NV360&amp;s=Z01UX502Z6K6" TargetMode="External"/><Relationship Id="rId111" Type="http://schemas.openxmlformats.org/officeDocument/2006/relationships/hyperlink" Target="http://www.registeryourshark.com/reg/?m=NV360&amp;s=Z01UX502Z7U8" TargetMode="External"/><Relationship Id="rId15" Type="http://schemas.openxmlformats.org/officeDocument/2006/relationships/hyperlink" Target="http://www.registeryourshark.com/reg/?m=NV360&amp;s=Z02UX502Z4Q4" TargetMode="External"/><Relationship Id="rId36" Type="http://schemas.openxmlformats.org/officeDocument/2006/relationships/hyperlink" Target="http://www.registeryourshark.com/reg/?m=NV360&amp;s=Z02UX502Z2J9" TargetMode="External"/><Relationship Id="rId57" Type="http://schemas.openxmlformats.org/officeDocument/2006/relationships/hyperlink" Target="http://www.registeryourshark.com/reg/?m=NV360&amp;s=Z02UX503Z8Q9" TargetMode="External"/><Relationship Id="rId106" Type="http://schemas.openxmlformats.org/officeDocument/2006/relationships/hyperlink" Target="http://www.registeryourshark.com/reg/?m=NV360&amp;s=Z01UX502Z9U6" TargetMode="External"/><Relationship Id="rId10" Type="http://schemas.openxmlformats.org/officeDocument/2006/relationships/hyperlink" Target="http://www.registeryourshark.com/reg/?m=NV360&amp;s=Z02UX502Z6H7" TargetMode="External"/><Relationship Id="rId31" Type="http://schemas.openxmlformats.org/officeDocument/2006/relationships/hyperlink" Target="http://www.registeryourshark.com/reg/?m=NV360&amp;s=Z02UX502Z2S5" TargetMode="External"/><Relationship Id="rId52" Type="http://schemas.openxmlformats.org/officeDocument/2006/relationships/hyperlink" Target="http://www.registeryourshark.com/reg/?m=NV360&amp;s=Z02UX503Z8R0" TargetMode="External"/><Relationship Id="rId73" Type="http://schemas.openxmlformats.org/officeDocument/2006/relationships/hyperlink" Target="http://www.registeryourshark.com/reg/?m=NV360&amp;s=Z02UX503Z9H8" TargetMode="External"/><Relationship Id="rId78" Type="http://schemas.openxmlformats.org/officeDocument/2006/relationships/hyperlink" Target="http://www.registeryourshark.com/reg/?m=NV360&amp;s=Z02UX503Z8Q8" TargetMode="External"/><Relationship Id="rId94" Type="http://schemas.openxmlformats.org/officeDocument/2006/relationships/hyperlink" Target="http://www.registeryourshark.com/reg/?m=NV360&amp;s=Z01UX502Z8R4" TargetMode="External"/><Relationship Id="rId99" Type="http://schemas.openxmlformats.org/officeDocument/2006/relationships/hyperlink" Target="http://www.registeryourshark.com/reg/?m=NV360&amp;s=Z01UX502Z7Q3" TargetMode="External"/><Relationship Id="rId101" Type="http://schemas.openxmlformats.org/officeDocument/2006/relationships/hyperlink" Target="http://www.registeryourshark.com/reg/?m=NV360&amp;s=Z01UX502Z8R3" TargetMode="External"/><Relationship Id="rId122" Type="http://schemas.openxmlformats.org/officeDocument/2006/relationships/hyperlink" Target="http://www.registeryourshark.com/reg/?m=NV360&amp;s=Z01UX502Z4Z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view="pageBreakPreview" topLeftCell="B1" zoomScaleNormal="100" workbookViewId="0">
      <selection activeCell="E7" sqref="E7:E8"/>
    </sheetView>
  </sheetViews>
  <sheetFormatPr defaultColWidth="10.265625" defaultRowHeight="15.75"/>
  <cols>
    <col min="1" max="1" width="16.59765625" style="3" customWidth="1"/>
    <col min="2" max="2" width="15.46484375" style="3" customWidth="1"/>
    <col min="3" max="3" width="11" style="3" customWidth="1"/>
    <col min="4" max="4" width="11.59765625" style="4" customWidth="1"/>
    <col min="5" max="5" width="17.59765625" style="4" customWidth="1"/>
    <col min="6" max="6" width="19.06640625" style="4" customWidth="1"/>
    <col min="7" max="7" width="17.9296875" style="4" customWidth="1"/>
    <col min="8" max="8" width="31.19921875" style="5" customWidth="1"/>
    <col min="9" max="9" width="11" style="5" customWidth="1"/>
    <col min="10" max="10" width="11" style="3" customWidth="1"/>
    <col min="11" max="16384" width="10.265625" style="3"/>
  </cols>
  <sheetData>
    <row r="1" spans="1:10" ht="22.5" customHeight="1">
      <c r="A1" s="6"/>
      <c r="B1" s="6"/>
      <c r="C1" s="72" t="s">
        <v>0</v>
      </c>
      <c r="D1" s="72"/>
      <c r="E1" s="72"/>
      <c r="F1" s="72"/>
      <c r="G1" s="72"/>
      <c r="H1" s="72"/>
      <c r="I1" s="72"/>
      <c r="J1" s="72"/>
    </row>
    <row r="2" spans="1:10" ht="22.5" customHeight="1">
      <c r="A2" s="7"/>
      <c r="B2" s="7"/>
      <c r="C2" s="72"/>
      <c r="D2" s="72"/>
      <c r="E2" s="72"/>
      <c r="F2" s="72"/>
      <c r="G2" s="72"/>
      <c r="H2" s="72"/>
      <c r="I2" s="72"/>
      <c r="J2" s="72"/>
    </row>
    <row r="3" spans="1:10" ht="15.75" customHeight="1">
      <c r="A3" s="8" t="s">
        <v>1</v>
      </c>
      <c r="B3" s="43" t="s">
        <v>153</v>
      </c>
      <c r="C3" s="44"/>
      <c r="D3" s="9" t="s">
        <v>2</v>
      </c>
      <c r="E3" s="45">
        <v>20173329</v>
      </c>
      <c r="F3" s="45"/>
      <c r="G3" s="10" t="s">
        <v>4</v>
      </c>
      <c r="H3" s="11"/>
      <c r="I3" s="38" t="s">
        <v>160</v>
      </c>
      <c r="J3" s="39"/>
    </row>
    <row r="4" spans="1:10" ht="61.5" customHeight="1">
      <c r="A4" s="12" t="s">
        <v>5</v>
      </c>
      <c r="B4" s="52" t="s">
        <v>154</v>
      </c>
      <c r="C4" s="54" t="s">
        <v>6</v>
      </c>
      <c r="D4" s="46" t="s">
        <v>7</v>
      </c>
      <c r="E4" s="47"/>
      <c r="F4" s="58" t="s">
        <v>8</v>
      </c>
      <c r="G4" s="62" t="s">
        <v>9</v>
      </c>
      <c r="H4" s="13" t="s">
        <v>10</v>
      </c>
      <c r="I4" s="54" t="s">
        <v>11</v>
      </c>
      <c r="J4" s="54" t="s">
        <v>12</v>
      </c>
    </row>
    <row r="5" spans="1:10" ht="14.25" customHeight="1">
      <c r="A5" s="48" t="s">
        <v>13</v>
      </c>
      <c r="B5" s="52"/>
      <c r="C5" s="54"/>
      <c r="D5" s="58" t="s">
        <v>14</v>
      </c>
      <c r="E5" s="58" t="s">
        <v>15</v>
      </c>
      <c r="F5" s="62"/>
      <c r="G5" s="62"/>
      <c r="H5" s="65" t="s">
        <v>16</v>
      </c>
      <c r="I5" s="54"/>
      <c r="J5" s="54"/>
    </row>
    <row r="6" spans="1:10" ht="59.25" customHeight="1">
      <c r="A6" s="49"/>
      <c r="B6" s="52"/>
      <c r="C6" s="55"/>
      <c r="D6" s="59"/>
      <c r="E6" s="59"/>
      <c r="F6" s="59"/>
      <c r="G6" s="59"/>
      <c r="H6" s="66"/>
      <c r="I6" s="67"/>
      <c r="J6" s="67"/>
    </row>
    <row r="7" spans="1:10" ht="16.5" customHeight="1">
      <c r="A7" s="50" t="s">
        <v>17</v>
      </c>
      <c r="B7" s="52"/>
      <c r="C7" s="56" t="s">
        <v>3</v>
      </c>
      <c r="D7" s="60" t="s">
        <v>3</v>
      </c>
      <c r="E7" s="60" t="s">
        <v>3</v>
      </c>
      <c r="F7" s="63" t="s">
        <v>18</v>
      </c>
      <c r="G7" s="63" t="s">
        <v>19</v>
      </c>
      <c r="H7" s="60" t="s">
        <v>20</v>
      </c>
      <c r="I7" s="68" t="s">
        <v>21</v>
      </c>
      <c r="J7" s="70" t="s">
        <v>22</v>
      </c>
    </row>
    <row r="8" spans="1:10">
      <c r="A8" s="51"/>
      <c r="B8" s="53"/>
      <c r="C8" s="57"/>
      <c r="D8" s="61"/>
      <c r="E8" s="61"/>
      <c r="F8" s="64"/>
      <c r="G8" s="64"/>
      <c r="H8" s="61"/>
      <c r="I8" s="69"/>
      <c r="J8" s="71"/>
    </row>
    <row r="9" spans="1:10" s="2" customFormat="1">
      <c r="A9" s="14">
        <v>1</v>
      </c>
      <c r="B9" s="15" t="s">
        <v>155</v>
      </c>
      <c r="C9" s="15" t="s">
        <v>3</v>
      </c>
      <c r="D9" s="15" t="s">
        <v>3</v>
      </c>
      <c r="E9" s="15" t="s">
        <v>3</v>
      </c>
      <c r="F9" s="23">
        <v>2666</v>
      </c>
      <c r="G9" s="23">
        <v>3719</v>
      </c>
      <c r="H9" s="23">
        <v>14.06</v>
      </c>
      <c r="I9" s="15" t="s">
        <v>23</v>
      </c>
      <c r="J9" s="15" t="s">
        <v>23</v>
      </c>
    </row>
    <row r="10" spans="1:10" s="2" customFormat="1">
      <c r="A10" s="14">
        <v>2</v>
      </c>
      <c r="B10" s="15" t="s">
        <v>156</v>
      </c>
      <c r="C10" s="15" t="s">
        <v>3</v>
      </c>
      <c r="D10" s="15" t="s">
        <v>3</v>
      </c>
      <c r="E10" s="15" t="s">
        <v>3</v>
      </c>
      <c r="F10" s="23">
        <v>2597</v>
      </c>
      <c r="G10" s="23">
        <v>3745</v>
      </c>
      <c r="H10" s="23">
        <v>12.84</v>
      </c>
      <c r="I10" s="15" t="s">
        <v>23</v>
      </c>
      <c r="J10" s="15" t="s">
        <v>23</v>
      </c>
    </row>
    <row r="11" spans="1:10" s="2" customFormat="1">
      <c r="A11" s="14">
        <v>3</v>
      </c>
      <c r="B11" s="15" t="s">
        <v>157</v>
      </c>
      <c r="C11" s="15" t="s">
        <v>3</v>
      </c>
      <c r="D11" s="15" t="s">
        <v>3</v>
      </c>
      <c r="E11" s="15" t="s">
        <v>3</v>
      </c>
      <c r="F11" s="23">
        <v>2619</v>
      </c>
      <c r="G11" s="23">
        <v>3635</v>
      </c>
      <c r="H11" s="23">
        <v>13.47</v>
      </c>
      <c r="I11" s="15" t="s">
        <v>23</v>
      </c>
      <c r="J11" s="15" t="s">
        <v>23</v>
      </c>
    </row>
    <row r="12" spans="1:10" s="2" customFormat="1">
      <c r="A12" s="14">
        <v>4</v>
      </c>
      <c r="B12" s="15" t="s">
        <v>158</v>
      </c>
      <c r="C12" s="15" t="s">
        <v>3</v>
      </c>
      <c r="D12" s="15" t="s">
        <v>3</v>
      </c>
      <c r="E12" s="15" t="s">
        <v>3</v>
      </c>
      <c r="F12" s="23">
        <v>2619</v>
      </c>
      <c r="G12" s="23">
        <v>3748</v>
      </c>
      <c r="H12" s="23">
        <v>13.64</v>
      </c>
      <c r="I12" s="15" t="s">
        <v>23</v>
      </c>
      <c r="J12" s="15" t="s">
        <v>23</v>
      </c>
    </row>
    <row r="13" spans="1:10" s="2" customFormat="1">
      <c r="A13" s="14">
        <v>5</v>
      </c>
      <c r="B13" s="15" t="s">
        <v>159</v>
      </c>
      <c r="C13" s="15" t="s">
        <v>3</v>
      </c>
      <c r="D13" s="15" t="s">
        <v>3</v>
      </c>
      <c r="E13" s="15" t="s">
        <v>3</v>
      </c>
      <c r="F13" s="23">
        <v>2614</v>
      </c>
      <c r="G13" s="23">
        <v>3712</v>
      </c>
      <c r="H13" s="23">
        <v>13.15</v>
      </c>
      <c r="I13" s="15" t="s">
        <v>23</v>
      </c>
      <c r="J13" s="15" t="s">
        <v>23</v>
      </c>
    </row>
    <row r="14" spans="1:10" s="2" customFormat="1">
      <c r="A14" s="14">
        <v>6</v>
      </c>
      <c r="B14" s="18"/>
      <c r="C14" s="19"/>
      <c r="D14" s="15"/>
      <c r="E14" s="15"/>
      <c r="F14" s="16"/>
      <c r="G14" s="17"/>
      <c r="H14" s="16"/>
      <c r="I14" s="20"/>
      <c r="J14" s="20"/>
    </row>
    <row r="15" spans="1:10" s="2" customFormat="1">
      <c r="A15" s="14">
        <v>7</v>
      </c>
      <c r="B15" s="18"/>
      <c r="C15" s="19"/>
      <c r="D15" s="20"/>
      <c r="E15" s="20"/>
      <c r="F15" s="21"/>
      <c r="G15" s="22"/>
      <c r="H15" s="21"/>
      <c r="I15" s="20"/>
      <c r="J15" s="40"/>
    </row>
    <row r="16" spans="1:10" s="2" customFormat="1">
      <c r="A16" s="14">
        <v>8</v>
      </c>
      <c r="B16" s="18"/>
      <c r="C16" s="19"/>
      <c r="D16" s="20"/>
      <c r="E16" s="20"/>
      <c r="F16" s="21"/>
      <c r="G16" s="22"/>
      <c r="H16" s="21"/>
      <c r="I16" s="20"/>
      <c r="J16" s="40"/>
    </row>
    <row r="17" spans="1:10" s="2" customFormat="1">
      <c r="A17" s="14">
        <v>9</v>
      </c>
      <c r="B17" s="18"/>
      <c r="C17" s="19"/>
      <c r="D17" s="20"/>
      <c r="E17" s="20"/>
      <c r="F17" s="21"/>
      <c r="G17" s="22"/>
      <c r="H17" s="21"/>
      <c r="I17" s="20"/>
      <c r="J17" s="40"/>
    </row>
    <row r="18" spans="1:10" s="2" customFormat="1">
      <c r="A18" s="14">
        <v>10</v>
      </c>
      <c r="B18" s="18"/>
      <c r="C18" s="19"/>
      <c r="D18" s="20"/>
      <c r="E18" s="20"/>
      <c r="F18" s="21"/>
      <c r="G18" s="22"/>
      <c r="H18" s="21"/>
      <c r="I18" s="20"/>
      <c r="J18" s="40"/>
    </row>
    <row r="19" spans="1:10" s="2" customFormat="1">
      <c r="A19" s="14">
        <v>11</v>
      </c>
      <c r="B19" s="19"/>
      <c r="C19" s="19"/>
      <c r="D19" s="23"/>
      <c r="E19" s="23"/>
      <c r="F19" s="23"/>
      <c r="G19" s="23"/>
      <c r="H19" s="23"/>
      <c r="I19" s="24"/>
      <c r="J19" s="40"/>
    </row>
    <row r="20" spans="1:10" s="2" customFormat="1">
      <c r="A20" s="14">
        <v>12</v>
      </c>
      <c r="B20" s="19"/>
      <c r="C20" s="19"/>
      <c r="D20" s="23"/>
      <c r="E20" s="23"/>
      <c r="F20" s="23"/>
      <c r="G20" s="23"/>
      <c r="H20" s="23"/>
      <c r="I20" s="24"/>
      <c r="J20" s="40"/>
    </row>
    <row r="21" spans="1:10" s="2" customFormat="1">
      <c r="A21" s="14">
        <v>13</v>
      </c>
      <c r="B21" s="19"/>
      <c r="C21" s="19"/>
      <c r="D21" s="23"/>
      <c r="E21" s="23"/>
      <c r="F21" s="23"/>
      <c r="G21" s="24"/>
      <c r="H21" s="24"/>
      <c r="I21" s="24"/>
      <c r="J21" s="40"/>
    </row>
    <row r="22" spans="1:10" s="2" customFormat="1">
      <c r="A22" s="14">
        <v>14</v>
      </c>
      <c r="B22" s="19"/>
      <c r="C22" s="19"/>
      <c r="D22" s="23"/>
      <c r="E22" s="23"/>
      <c r="F22" s="23"/>
      <c r="G22" s="24"/>
      <c r="H22" s="24"/>
      <c r="I22" s="24"/>
      <c r="J22" s="40"/>
    </row>
    <row r="23" spans="1:10" s="2" customFormat="1">
      <c r="A23" s="14">
        <v>15</v>
      </c>
      <c r="B23" s="19"/>
      <c r="C23" s="19"/>
      <c r="D23" s="23"/>
      <c r="E23" s="23"/>
      <c r="F23" s="23"/>
      <c r="G23" s="24"/>
      <c r="H23" s="24"/>
      <c r="I23" s="24"/>
      <c r="J23" s="40"/>
    </row>
    <row r="24" spans="1:10" s="2" customFormat="1">
      <c r="A24" s="14">
        <v>16</v>
      </c>
      <c r="B24" s="19"/>
      <c r="C24" s="19"/>
      <c r="D24" s="23"/>
      <c r="E24" s="23"/>
      <c r="F24" s="23"/>
      <c r="G24" s="24"/>
      <c r="H24" s="24"/>
      <c r="I24" s="24"/>
      <c r="J24" s="40"/>
    </row>
    <row r="25" spans="1:10" s="2" customFormat="1">
      <c r="A25" s="14">
        <v>17</v>
      </c>
      <c r="B25" s="19"/>
      <c r="C25" s="19"/>
      <c r="D25" s="23"/>
      <c r="E25" s="23"/>
      <c r="F25" s="23"/>
      <c r="G25" s="24"/>
      <c r="H25" s="24"/>
      <c r="I25" s="24"/>
      <c r="J25" s="40"/>
    </row>
    <row r="26" spans="1:10" s="2" customFormat="1">
      <c r="A26" s="14">
        <v>18</v>
      </c>
      <c r="B26" s="19"/>
      <c r="C26" s="19"/>
      <c r="D26" s="23"/>
      <c r="E26" s="23"/>
      <c r="F26" s="23"/>
      <c r="G26" s="24"/>
      <c r="H26" s="24"/>
      <c r="I26" s="24"/>
      <c r="J26" s="40"/>
    </row>
    <row r="27" spans="1:10" s="2" customFormat="1">
      <c r="A27" s="14">
        <v>19</v>
      </c>
      <c r="B27" s="19"/>
      <c r="C27" s="19"/>
      <c r="D27" s="23"/>
      <c r="E27" s="23"/>
      <c r="F27" s="23"/>
      <c r="G27" s="24"/>
      <c r="H27" s="24"/>
      <c r="I27" s="24"/>
      <c r="J27" s="40"/>
    </row>
    <row r="28" spans="1:10" s="2" customFormat="1">
      <c r="A28" s="14">
        <v>20</v>
      </c>
      <c r="B28" s="19"/>
      <c r="C28" s="19"/>
      <c r="D28" s="23"/>
      <c r="E28" s="23"/>
      <c r="F28" s="23"/>
      <c r="G28" s="24"/>
      <c r="H28" s="24"/>
      <c r="I28" s="24"/>
      <c r="J28" s="40"/>
    </row>
    <row r="29" spans="1:10" s="2" customFormat="1">
      <c r="A29" s="25" t="s">
        <v>24</v>
      </c>
      <c r="B29" s="26"/>
      <c r="C29" s="27" t="str">
        <f t="shared" ref="C29:J29" si="0">IF(C9=" "," ",IF(MIN(C9:C28)=0," ",MIN(C9:C28)))</f>
        <v xml:space="preserve"> </v>
      </c>
      <c r="D29" s="27" t="str">
        <f t="shared" si="0"/>
        <v xml:space="preserve"> </v>
      </c>
      <c r="E29" s="27" t="str">
        <f t="shared" si="0"/>
        <v xml:space="preserve"> </v>
      </c>
      <c r="F29" s="28">
        <f t="shared" si="0"/>
        <v>2597</v>
      </c>
      <c r="G29" s="28">
        <f t="shared" si="0"/>
        <v>3635</v>
      </c>
      <c r="H29" s="27">
        <f t="shared" si="0"/>
        <v>12.84</v>
      </c>
      <c r="I29" s="27" t="str">
        <f t="shared" si="0"/>
        <v xml:space="preserve"> </v>
      </c>
      <c r="J29" s="27" t="str">
        <f t="shared" si="0"/>
        <v xml:space="preserve"> </v>
      </c>
    </row>
    <row r="30" spans="1:10" s="2" customFormat="1">
      <c r="A30" s="25" t="s">
        <v>25</v>
      </c>
      <c r="B30" s="26"/>
      <c r="C30" s="27" t="str">
        <f t="shared" ref="C30:J30" si="1">IF(C9=" "," ",IF(C29=" "," ",AVERAGE(C9:C28)))</f>
        <v xml:space="preserve"> </v>
      </c>
      <c r="D30" s="27" t="str">
        <f t="shared" si="1"/>
        <v xml:space="preserve"> </v>
      </c>
      <c r="E30" s="27" t="str">
        <f t="shared" si="1"/>
        <v xml:space="preserve"> </v>
      </c>
      <c r="F30" s="28">
        <f t="shared" si="1"/>
        <v>2623</v>
      </c>
      <c r="G30" s="28">
        <f t="shared" si="1"/>
        <v>3711.8</v>
      </c>
      <c r="H30" s="27">
        <f t="shared" si="1"/>
        <v>13.431999999999999</v>
      </c>
      <c r="I30" s="27" t="str">
        <f t="shared" si="1"/>
        <v xml:space="preserve"> </v>
      </c>
      <c r="J30" s="27" t="str">
        <f t="shared" si="1"/>
        <v xml:space="preserve"> </v>
      </c>
    </row>
    <row r="31" spans="1:10" s="2" customFormat="1">
      <c r="A31" s="25" t="s">
        <v>26</v>
      </c>
      <c r="B31" s="26"/>
      <c r="C31" s="27" t="str">
        <f t="shared" ref="C31:J31" si="2">IF(C9=" "," ",IF(C29=" "," ",MAX(C9:C28)))</f>
        <v xml:space="preserve"> </v>
      </c>
      <c r="D31" s="27" t="str">
        <f t="shared" si="2"/>
        <v xml:space="preserve"> </v>
      </c>
      <c r="E31" s="27" t="str">
        <f t="shared" si="2"/>
        <v xml:space="preserve"> </v>
      </c>
      <c r="F31" s="28">
        <f t="shared" si="2"/>
        <v>2666</v>
      </c>
      <c r="G31" s="28">
        <f t="shared" si="2"/>
        <v>3748</v>
      </c>
      <c r="H31" s="27">
        <f t="shared" si="2"/>
        <v>14.06</v>
      </c>
      <c r="I31" s="27" t="str">
        <f t="shared" si="2"/>
        <v xml:space="preserve"> </v>
      </c>
      <c r="J31" s="27" t="str">
        <f t="shared" si="2"/>
        <v xml:space="preserve"> </v>
      </c>
    </row>
    <row r="32" spans="1:10" s="2" customFormat="1">
      <c r="A32" s="25" t="s">
        <v>27</v>
      </c>
      <c r="B32" s="26"/>
      <c r="C32" s="27" t="str">
        <f t="shared" ref="C32:J32" si="3">IF(C9=" "," ",IF(C29=" "," ",STDEV(C9:C28)))</f>
        <v xml:space="preserve"> </v>
      </c>
      <c r="D32" s="27" t="str">
        <f t="shared" si="3"/>
        <v xml:space="preserve"> </v>
      </c>
      <c r="E32" s="27" t="str">
        <f t="shared" si="3"/>
        <v xml:space="preserve"> </v>
      </c>
      <c r="F32" s="27">
        <f t="shared" si="3"/>
        <v>25.680732076792516</v>
      </c>
      <c r="G32" s="27">
        <f t="shared" si="3"/>
        <v>45.724173037901949</v>
      </c>
      <c r="H32" s="27">
        <f t="shared" si="3"/>
        <v>0.46612230154756618</v>
      </c>
      <c r="I32" s="27" t="str">
        <f t="shared" si="3"/>
        <v xml:space="preserve"> </v>
      </c>
      <c r="J32" s="27" t="str">
        <f t="shared" si="3"/>
        <v xml:space="preserve"> </v>
      </c>
    </row>
    <row r="33" spans="1:10" s="2" customFormat="1">
      <c r="A33" s="29" t="s">
        <v>13</v>
      </c>
      <c r="B33" s="30"/>
      <c r="C33" s="31"/>
      <c r="D33" s="32"/>
      <c r="E33" s="32"/>
      <c r="F33" s="32"/>
      <c r="G33" s="32"/>
      <c r="H33" s="33"/>
      <c r="I33" s="41"/>
      <c r="J33" s="42"/>
    </row>
    <row r="34" spans="1:10" s="2" customFormat="1">
      <c r="A34" s="34" t="s">
        <v>28</v>
      </c>
      <c r="B34" s="34"/>
      <c r="C34" s="35"/>
      <c r="D34" s="36"/>
      <c r="E34" s="36"/>
      <c r="F34" s="36"/>
      <c r="G34" s="36"/>
      <c r="H34" s="37"/>
      <c r="I34" s="37"/>
      <c r="J34" s="35"/>
    </row>
  </sheetData>
  <mergeCells count="23">
    <mergeCell ref="J4:J6"/>
    <mergeCell ref="J7:J8"/>
    <mergeCell ref="C1:J2"/>
    <mergeCell ref="G4:G6"/>
    <mergeCell ref="G7:G8"/>
    <mergeCell ref="H5:H6"/>
    <mergeCell ref="H7:H8"/>
    <mergeCell ref="I4:I6"/>
    <mergeCell ref="I7:I8"/>
    <mergeCell ref="B3:C3"/>
    <mergeCell ref="E3:F3"/>
    <mergeCell ref="D4:E4"/>
    <mergeCell ref="A5:A6"/>
    <mergeCell ref="A7:A8"/>
    <mergeCell ref="B4:B8"/>
    <mergeCell ref="C4:C6"/>
    <mergeCell ref="C7:C8"/>
    <mergeCell ref="D5:D6"/>
    <mergeCell ref="D7:D8"/>
    <mergeCell ref="E5:E6"/>
    <mergeCell ref="E7:E8"/>
    <mergeCell ref="F4:F6"/>
    <mergeCell ref="F7:F8"/>
  </mergeCells>
  <pageMargins left="0.7" right="0.7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zoomScale="115" zoomScaleNormal="115" workbookViewId="0">
      <selection activeCell="D31" sqref="D31"/>
    </sheetView>
  </sheetViews>
  <sheetFormatPr defaultColWidth="9" defaultRowHeight="14.25"/>
  <cols>
    <col min="1" max="1" width="60.796875" customWidth="1"/>
    <col min="2" max="2" width="59.265625" customWidth="1"/>
    <col min="3" max="3" width="60" customWidth="1"/>
    <col min="4" max="4" width="9.265625" customWidth="1"/>
  </cols>
  <sheetData>
    <row r="1" spans="1:3">
      <c r="A1" s="1" t="s">
        <v>29</v>
      </c>
      <c r="B1" s="1" t="s">
        <v>30</v>
      </c>
      <c r="C1" s="1" t="s">
        <v>31</v>
      </c>
    </row>
    <row r="2" spans="1:3">
      <c r="A2" s="1" t="s">
        <v>32</v>
      </c>
      <c r="B2" s="1" t="s">
        <v>33</v>
      </c>
      <c r="C2" s="1" t="s">
        <v>34</v>
      </c>
    </row>
    <row r="3" spans="1:3">
      <c r="A3" s="1" t="s">
        <v>35</v>
      </c>
      <c r="B3" s="1" t="s">
        <v>36</v>
      </c>
      <c r="C3" s="1" t="s">
        <v>37</v>
      </c>
    </row>
    <row r="4" spans="1:3">
      <c r="A4" s="1" t="s">
        <v>38</v>
      </c>
      <c r="B4" s="1" t="s">
        <v>39</v>
      </c>
      <c r="C4" s="1" t="s">
        <v>40</v>
      </c>
    </row>
    <row r="5" spans="1:3">
      <c r="A5" s="1" t="s">
        <v>41</v>
      </c>
      <c r="B5" s="1" t="s">
        <v>42</v>
      </c>
      <c r="C5" s="1" t="s">
        <v>43</v>
      </c>
    </row>
    <row r="6" spans="1:3">
      <c r="A6" s="1" t="s">
        <v>44</v>
      </c>
      <c r="B6" s="1" t="s">
        <v>45</v>
      </c>
      <c r="C6" s="1" t="s">
        <v>46</v>
      </c>
    </row>
    <row r="7" spans="1:3">
      <c r="A7" s="1" t="s">
        <v>47</v>
      </c>
      <c r="B7" s="1" t="s">
        <v>48</v>
      </c>
      <c r="C7" s="1" t="s">
        <v>49</v>
      </c>
    </row>
    <row r="8" spans="1:3">
      <c r="A8" s="1" t="s">
        <v>50</v>
      </c>
      <c r="B8" s="1" t="s">
        <v>51</v>
      </c>
      <c r="C8" s="1" t="s">
        <v>52</v>
      </c>
    </row>
    <row r="9" spans="1:3">
      <c r="A9" s="1" t="s">
        <v>53</v>
      </c>
      <c r="B9" s="1" t="s">
        <v>54</v>
      </c>
      <c r="C9" s="1" t="s">
        <v>55</v>
      </c>
    </row>
    <row r="10" spans="1:3">
      <c r="A10" s="1" t="s">
        <v>56</v>
      </c>
      <c r="B10" s="1" t="s">
        <v>57</v>
      </c>
      <c r="C10" s="1" t="s">
        <v>58</v>
      </c>
    </row>
    <row r="11" spans="1:3">
      <c r="A11" s="1" t="s">
        <v>59</v>
      </c>
      <c r="B11" s="1" t="s">
        <v>60</v>
      </c>
      <c r="C11" s="1" t="s">
        <v>61</v>
      </c>
    </row>
    <row r="12" spans="1:3">
      <c r="A12" s="1" t="s">
        <v>62</v>
      </c>
      <c r="B12" s="1" t="s">
        <v>63</v>
      </c>
      <c r="C12" s="1" t="s">
        <v>64</v>
      </c>
    </row>
    <row r="13" spans="1:3">
      <c r="A13" s="1" t="s">
        <v>65</v>
      </c>
      <c r="B13" s="1" t="s">
        <v>66</v>
      </c>
      <c r="C13" s="1" t="s">
        <v>67</v>
      </c>
    </row>
    <row r="14" spans="1:3">
      <c r="A14" s="1" t="s">
        <v>68</v>
      </c>
      <c r="B14" s="1" t="s">
        <v>69</v>
      </c>
      <c r="C14" s="1" t="s">
        <v>70</v>
      </c>
    </row>
    <row r="15" spans="1:3">
      <c r="A15" s="1" t="s">
        <v>71</v>
      </c>
      <c r="B15" s="1" t="s">
        <v>72</v>
      </c>
      <c r="C15" s="1" t="s">
        <v>73</v>
      </c>
    </row>
    <row r="16" spans="1:3">
      <c r="A16" s="1" t="s">
        <v>74</v>
      </c>
      <c r="B16" s="1" t="s">
        <v>75</v>
      </c>
      <c r="C16" s="1" t="s">
        <v>76</v>
      </c>
    </row>
    <row r="17" spans="1:3">
      <c r="A17" s="1" t="s">
        <v>77</v>
      </c>
      <c r="B17" s="1" t="s">
        <v>78</v>
      </c>
      <c r="C17" s="1" t="s">
        <v>79</v>
      </c>
    </row>
    <row r="18" spans="1:3">
      <c r="A18" s="1" t="s">
        <v>80</v>
      </c>
      <c r="B18" s="1" t="s">
        <v>81</v>
      </c>
      <c r="C18" s="1" t="s">
        <v>82</v>
      </c>
    </row>
    <row r="19" spans="1:3">
      <c r="A19" s="1" t="s">
        <v>83</v>
      </c>
      <c r="B19" s="1" t="s">
        <v>84</v>
      </c>
      <c r="C19" s="1" t="s">
        <v>85</v>
      </c>
    </row>
    <row r="20" spans="1:3">
      <c r="A20" s="1" t="s">
        <v>86</v>
      </c>
      <c r="B20" s="1" t="s">
        <v>87</v>
      </c>
      <c r="C20" s="1" t="s">
        <v>88</v>
      </c>
    </row>
    <row r="21" spans="1:3">
      <c r="A21" s="1" t="s">
        <v>89</v>
      </c>
      <c r="B21" s="1" t="s">
        <v>90</v>
      </c>
      <c r="C21" s="1" t="s">
        <v>91</v>
      </c>
    </row>
    <row r="22" spans="1:3">
      <c r="A22" s="1" t="s">
        <v>92</v>
      </c>
      <c r="B22" s="1" t="s">
        <v>93</v>
      </c>
      <c r="C22" s="1" t="s">
        <v>94</v>
      </c>
    </row>
    <row r="23" spans="1:3">
      <c r="A23" s="1" t="s">
        <v>95</v>
      </c>
      <c r="B23" s="1" t="s">
        <v>96</v>
      </c>
      <c r="C23" s="1" t="s">
        <v>97</v>
      </c>
    </row>
    <row r="24" spans="1:3">
      <c r="A24" s="1" t="s">
        <v>98</v>
      </c>
      <c r="B24" s="1" t="s">
        <v>99</v>
      </c>
      <c r="C24" s="1" t="s">
        <v>100</v>
      </c>
    </row>
    <row r="25" spans="1:3">
      <c r="A25" s="1" t="s">
        <v>101</v>
      </c>
      <c r="B25" s="1" t="s">
        <v>102</v>
      </c>
      <c r="C25" s="1" t="s">
        <v>103</v>
      </c>
    </row>
    <row r="26" spans="1:3">
      <c r="A26" s="1" t="s">
        <v>104</v>
      </c>
      <c r="B26" s="1" t="s">
        <v>105</v>
      </c>
      <c r="C26" s="1" t="s">
        <v>106</v>
      </c>
    </row>
    <row r="27" spans="1:3">
      <c r="A27" s="1" t="s">
        <v>107</v>
      </c>
      <c r="B27" s="1" t="s">
        <v>108</v>
      </c>
      <c r="C27" s="1" t="s">
        <v>109</v>
      </c>
    </row>
    <row r="28" spans="1:3">
      <c r="A28" s="1" t="s">
        <v>110</v>
      </c>
      <c r="B28" s="1" t="s">
        <v>111</v>
      </c>
      <c r="C28" s="1" t="s">
        <v>112</v>
      </c>
    </row>
    <row r="29" spans="1:3">
      <c r="A29" s="1" t="s">
        <v>113</v>
      </c>
      <c r="B29" s="1" t="s">
        <v>114</v>
      </c>
      <c r="C29" s="1" t="s">
        <v>115</v>
      </c>
    </row>
    <row r="30" spans="1:3">
      <c r="A30" s="1" t="s">
        <v>116</v>
      </c>
      <c r="B30" s="1" t="s">
        <v>117</v>
      </c>
      <c r="C30" s="1" t="s">
        <v>118</v>
      </c>
    </row>
    <row r="31" spans="1:3">
      <c r="A31" s="1" t="s">
        <v>119</v>
      </c>
      <c r="B31" s="1" t="s">
        <v>120</v>
      </c>
      <c r="C31" s="1" t="s">
        <v>121</v>
      </c>
    </row>
    <row r="32" spans="1:3">
      <c r="A32" s="1" t="s">
        <v>122</v>
      </c>
      <c r="B32" s="1" t="s">
        <v>123</v>
      </c>
      <c r="C32" s="1" t="s">
        <v>124</v>
      </c>
    </row>
    <row r="33" spans="1:3">
      <c r="A33" s="1" t="s">
        <v>125</v>
      </c>
      <c r="B33" s="1" t="s">
        <v>126</v>
      </c>
      <c r="C33" s="1" t="s">
        <v>127</v>
      </c>
    </row>
    <row r="34" spans="1:3">
      <c r="A34" s="1" t="s">
        <v>128</v>
      </c>
      <c r="B34" s="1" t="s">
        <v>129</v>
      </c>
      <c r="C34" s="1" t="s">
        <v>130</v>
      </c>
    </row>
    <row r="35" spans="1:3">
      <c r="A35" s="1" t="s">
        <v>131</v>
      </c>
      <c r="B35" s="1" t="s">
        <v>132</v>
      </c>
      <c r="C35" s="1" t="s">
        <v>133</v>
      </c>
    </row>
    <row r="36" spans="1:3">
      <c r="A36" s="1" t="s">
        <v>134</v>
      </c>
      <c r="B36" s="1" t="s">
        <v>135</v>
      </c>
      <c r="C36" s="1" t="s">
        <v>136</v>
      </c>
    </row>
    <row r="37" spans="1:3">
      <c r="A37" s="1" t="s">
        <v>137</v>
      </c>
      <c r="B37" s="1" t="s">
        <v>138</v>
      </c>
      <c r="C37" s="1" t="s">
        <v>139</v>
      </c>
    </row>
    <row r="38" spans="1:3">
      <c r="A38" s="1" t="s">
        <v>140</v>
      </c>
      <c r="B38" s="1" t="s">
        <v>141</v>
      </c>
      <c r="C38" s="1" t="s">
        <v>142</v>
      </c>
    </row>
    <row r="39" spans="1:3">
      <c r="A39" s="1" t="s">
        <v>143</v>
      </c>
      <c r="B39" s="1" t="s">
        <v>144</v>
      </c>
      <c r="C39" s="1" t="s">
        <v>145</v>
      </c>
    </row>
    <row r="40" spans="1:3">
      <c r="A40" s="1" t="s">
        <v>146</v>
      </c>
      <c r="B40" s="1" t="s">
        <v>147</v>
      </c>
      <c r="C40" s="1" t="s">
        <v>148</v>
      </c>
    </row>
    <row r="41" spans="1:3">
      <c r="A41" s="1" t="s">
        <v>149</v>
      </c>
      <c r="B41" s="1"/>
    </row>
    <row r="42" spans="1:3">
      <c r="A42" s="1" t="s">
        <v>150</v>
      </c>
      <c r="B42" s="1"/>
    </row>
    <row r="43" spans="1:3">
      <c r="A43" s="1" t="s">
        <v>151</v>
      </c>
      <c r="B43" s="1"/>
    </row>
    <row r="44" spans="1:3">
      <c r="A44" s="1" t="s">
        <v>152</v>
      </c>
      <c r="B44" s="1"/>
    </row>
    <row r="45" spans="1:3">
      <c r="A45" s="1"/>
      <c r="B45" s="1"/>
    </row>
    <row r="46" spans="1:3">
      <c r="A46" s="1"/>
      <c r="B46" s="1"/>
    </row>
    <row r="47" spans="1:3">
      <c r="A47" s="1"/>
      <c r="B47" s="1"/>
    </row>
    <row r="48" spans="1:3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</row>
    <row r="62" spans="1:2">
      <c r="A62" s="1"/>
    </row>
    <row r="63" spans="1:2">
      <c r="A63" s="1"/>
    </row>
    <row r="64" spans="1:2">
      <c r="A64" s="1"/>
    </row>
  </sheetData>
  <sortState xmlns:xlrd2="http://schemas.microsoft.com/office/spreadsheetml/2017/richdata2" ref="A1:C44">
    <sortCondition ref="C1:C44"/>
  </sortState>
  <conditionalFormatting sqref="A1:XFD1048576">
    <cfRule type="duplicateValues" dxfId="0" priority="1"/>
  </conditionalFormatting>
  <hyperlinks>
    <hyperlink ref="A1" r:id="rId1" xr:uid="{00000000-0004-0000-0100-000000000000}"/>
    <hyperlink ref="A2" r:id="rId2" xr:uid="{00000000-0004-0000-0100-000001000000}"/>
    <hyperlink ref="A3" r:id="rId3" xr:uid="{00000000-0004-0000-0100-000002000000}"/>
    <hyperlink ref="A4" r:id="rId4" xr:uid="{00000000-0004-0000-0100-000003000000}"/>
    <hyperlink ref="A5" r:id="rId5" xr:uid="{00000000-0004-0000-0100-000004000000}"/>
    <hyperlink ref="A6" r:id="rId6" xr:uid="{00000000-0004-0000-0100-000005000000}"/>
    <hyperlink ref="A7" r:id="rId7" xr:uid="{00000000-0004-0000-0100-000006000000}"/>
    <hyperlink ref="A8" r:id="rId8" xr:uid="{00000000-0004-0000-0100-000007000000}"/>
    <hyperlink ref="A9" r:id="rId9" xr:uid="{00000000-0004-0000-0100-000008000000}"/>
    <hyperlink ref="A10" r:id="rId10" xr:uid="{00000000-0004-0000-0100-000009000000}"/>
    <hyperlink ref="A11" r:id="rId11" xr:uid="{00000000-0004-0000-0100-00000A000000}"/>
    <hyperlink ref="A12" r:id="rId12" xr:uid="{00000000-0004-0000-0100-00000B000000}"/>
    <hyperlink ref="A13" r:id="rId13" xr:uid="{00000000-0004-0000-0100-00000C000000}"/>
    <hyperlink ref="A14" r:id="rId14" xr:uid="{00000000-0004-0000-0100-00000D000000}"/>
    <hyperlink ref="A15" r:id="rId15" xr:uid="{00000000-0004-0000-0100-00000E000000}"/>
    <hyperlink ref="A16" r:id="rId16" xr:uid="{00000000-0004-0000-0100-00000F000000}"/>
    <hyperlink ref="A17" r:id="rId17" xr:uid="{00000000-0004-0000-0100-000010000000}"/>
    <hyperlink ref="A18" r:id="rId18" xr:uid="{00000000-0004-0000-0100-000011000000}"/>
    <hyperlink ref="A19" r:id="rId19" xr:uid="{00000000-0004-0000-0100-000012000000}"/>
    <hyperlink ref="A20" r:id="rId20" xr:uid="{00000000-0004-0000-0100-000013000000}"/>
    <hyperlink ref="A21" r:id="rId21" xr:uid="{00000000-0004-0000-0100-000014000000}"/>
    <hyperlink ref="A22" r:id="rId22" xr:uid="{00000000-0004-0000-0100-000015000000}"/>
    <hyperlink ref="A23" r:id="rId23" xr:uid="{00000000-0004-0000-0100-000016000000}"/>
    <hyperlink ref="A24" r:id="rId24" xr:uid="{00000000-0004-0000-0100-000017000000}"/>
    <hyperlink ref="A25" r:id="rId25" xr:uid="{00000000-0004-0000-0100-000018000000}"/>
    <hyperlink ref="A26" r:id="rId26" xr:uid="{00000000-0004-0000-0100-000019000000}"/>
    <hyperlink ref="A27" r:id="rId27" xr:uid="{00000000-0004-0000-0100-00001A000000}"/>
    <hyperlink ref="A28" r:id="rId28" xr:uid="{00000000-0004-0000-0100-00001B000000}"/>
    <hyperlink ref="A29" r:id="rId29" xr:uid="{00000000-0004-0000-0100-00001C000000}"/>
    <hyperlink ref="A30" r:id="rId30" xr:uid="{00000000-0004-0000-0100-00001D000000}"/>
    <hyperlink ref="A31" r:id="rId31" xr:uid="{00000000-0004-0000-0100-00001E000000}"/>
    <hyperlink ref="A32" r:id="rId32" xr:uid="{00000000-0004-0000-0100-00001F000000}"/>
    <hyperlink ref="A33" r:id="rId33" xr:uid="{00000000-0004-0000-0100-000020000000}"/>
    <hyperlink ref="A34" r:id="rId34" xr:uid="{00000000-0004-0000-0100-000021000000}"/>
    <hyperlink ref="A35" r:id="rId35" xr:uid="{00000000-0004-0000-0100-000022000000}"/>
    <hyperlink ref="A36" r:id="rId36" xr:uid="{00000000-0004-0000-0100-000023000000}"/>
    <hyperlink ref="A37" r:id="rId37" xr:uid="{00000000-0004-0000-0100-000024000000}"/>
    <hyperlink ref="A38" r:id="rId38" xr:uid="{00000000-0004-0000-0100-000025000000}"/>
    <hyperlink ref="A39" r:id="rId39" xr:uid="{00000000-0004-0000-0100-000026000000}"/>
    <hyperlink ref="A40" r:id="rId40" xr:uid="{00000000-0004-0000-0100-000027000000}"/>
    <hyperlink ref="A41" r:id="rId41" xr:uid="{00000000-0004-0000-0100-000028000000}"/>
    <hyperlink ref="A42" r:id="rId42" xr:uid="{00000000-0004-0000-0100-000029000000}"/>
    <hyperlink ref="A43" r:id="rId43" xr:uid="{00000000-0004-0000-0100-00002A000000}"/>
    <hyperlink ref="A44" r:id="rId44" xr:uid="{00000000-0004-0000-0100-00002B000000}"/>
    <hyperlink ref="B1" r:id="rId45" xr:uid="{00000000-0004-0000-0100-00002C000000}"/>
    <hyperlink ref="B2" r:id="rId46" xr:uid="{00000000-0004-0000-0100-00002D000000}"/>
    <hyperlink ref="B3" r:id="rId47" xr:uid="{00000000-0004-0000-0100-00002E000000}"/>
    <hyperlink ref="B4" r:id="rId48" xr:uid="{00000000-0004-0000-0100-00002F000000}"/>
    <hyperlink ref="B5" r:id="rId49" xr:uid="{00000000-0004-0000-0100-000030000000}"/>
    <hyperlink ref="B6" r:id="rId50" xr:uid="{00000000-0004-0000-0100-000031000000}"/>
    <hyperlink ref="B7" r:id="rId51" xr:uid="{00000000-0004-0000-0100-000032000000}"/>
    <hyperlink ref="B8" r:id="rId52" xr:uid="{00000000-0004-0000-0100-000033000000}"/>
    <hyperlink ref="B9" r:id="rId53" xr:uid="{00000000-0004-0000-0100-000034000000}"/>
    <hyperlink ref="B10" r:id="rId54" xr:uid="{00000000-0004-0000-0100-000035000000}"/>
    <hyperlink ref="B11" r:id="rId55" xr:uid="{00000000-0004-0000-0100-000036000000}"/>
    <hyperlink ref="B12" r:id="rId56" xr:uid="{00000000-0004-0000-0100-000037000000}"/>
    <hyperlink ref="B13" r:id="rId57" xr:uid="{00000000-0004-0000-0100-000038000000}"/>
    <hyperlink ref="B14" r:id="rId58" xr:uid="{00000000-0004-0000-0100-000039000000}"/>
    <hyperlink ref="B15" r:id="rId59" xr:uid="{00000000-0004-0000-0100-00003A000000}"/>
    <hyperlink ref="B16" r:id="rId60" xr:uid="{00000000-0004-0000-0100-00003B000000}"/>
    <hyperlink ref="B17" r:id="rId61" xr:uid="{00000000-0004-0000-0100-00003C000000}"/>
    <hyperlink ref="B18" r:id="rId62" xr:uid="{00000000-0004-0000-0100-00003D000000}"/>
    <hyperlink ref="B19" r:id="rId63" xr:uid="{00000000-0004-0000-0100-00003E000000}"/>
    <hyperlink ref="B20" r:id="rId64" xr:uid="{00000000-0004-0000-0100-00003F000000}"/>
    <hyperlink ref="B21" r:id="rId65" xr:uid="{00000000-0004-0000-0100-000040000000}"/>
    <hyperlink ref="B22" r:id="rId66" xr:uid="{00000000-0004-0000-0100-000041000000}"/>
    <hyperlink ref="B23" r:id="rId67" xr:uid="{00000000-0004-0000-0100-000042000000}"/>
    <hyperlink ref="B24" r:id="rId68" xr:uid="{00000000-0004-0000-0100-000043000000}"/>
    <hyperlink ref="B25" r:id="rId69" xr:uid="{00000000-0004-0000-0100-000044000000}"/>
    <hyperlink ref="B26" r:id="rId70" xr:uid="{00000000-0004-0000-0100-000045000000}"/>
    <hyperlink ref="B27" r:id="rId71" xr:uid="{00000000-0004-0000-0100-000046000000}"/>
    <hyperlink ref="B28" r:id="rId72" xr:uid="{00000000-0004-0000-0100-000047000000}"/>
    <hyperlink ref="B29" r:id="rId73" xr:uid="{00000000-0004-0000-0100-000048000000}"/>
    <hyperlink ref="B30" r:id="rId74" xr:uid="{00000000-0004-0000-0100-000049000000}"/>
    <hyperlink ref="B31" r:id="rId75" xr:uid="{00000000-0004-0000-0100-00004A000000}"/>
    <hyperlink ref="B32" r:id="rId76" xr:uid="{00000000-0004-0000-0100-00004B000000}"/>
    <hyperlink ref="B33" r:id="rId77" xr:uid="{00000000-0004-0000-0100-00004C000000}"/>
    <hyperlink ref="B34" r:id="rId78" xr:uid="{00000000-0004-0000-0100-00004D000000}"/>
    <hyperlink ref="B35" r:id="rId79" xr:uid="{00000000-0004-0000-0100-00004E000000}"/>
    <hyperlink ref="B36" r:id="rId80" xr:uid="{00000000-0004-0000-0100-00004F000000}"/>
    <hyperlink ref="B37" r:id="rId81" xr:uid="{00000000-0004-0000-0100-000050000000}"/>
    <hyperlink ref="B38" r:id="rId82" xr:uid="{00000000-0004-0000-0100-000051000000}"/>
    <hyperlink ref="B39" r:id="rId83" xr:uid="{00000000-0004-0000-0100-000052000000}"/>
    <hyperlink ref="B40" r:id="rId84" xr:uid="{00000000-0004-0000-0100-000053000000}"/>
    <hyperlink ref="C1" r:id="rId85" xr:uid="{00000000-0004-0000-0100-000054000000}"/>
    <hyperlink ref="C2" r:id="rId86" xr:uid="{00000000-0004-0000-0100-000055000000}"/>
    <hyperlink ref="C3" r:id="rId87" xr:uid="{00000000-0004-0000-0100-000056000000}"/>
    <hyperlink ref="C4" r:id="rId88" xr:uid="{00000000-0004-0000-0100-000057000000}"/>
    <hyperlink ref="C5" r:id="rId89" xr:uid="{00000000-0004-0000-0100-000058000000}"/>
    <hyperlink ref="C6" r:id="rId90" xr:uid="{00000000-0004-0000-0100-000059000000}"/>
    <hyperlink ref="C7" r:id="rId91" xr:uid="{00000000-0004-0000-0100-00005A000000}"/>
    <hyperlink ref="C8" r:id="rId92" xr:uid="{00000000-0004-0000-0100-00005B000000}"/>
    <hyperlink ref="C9" r:id="rId93" xr:uid="{00000000-0004-0000-0100-00005C000000}"/>
    <hyperlink ref="C10" r:id="rId94" xr:uid="{00000000-0004-0000-0100-00005D000000}"/>
    <hyperlink ref="C11" r:id="rId95" xr:uid="{00000000-0004-0000-0100-00005E000000}"/>
    <hyperlink ref="C12" r:id="rId96" xr:uid="{00000000-0004-0000-0100-00005F000000}"/>
    <hyperlink ref="C13" r:id="rId97" xr:uid="{00000000-0004-0000-0100-000060000000}"/>
    <hyperlink ref="C14" r:id="rId98" xr:uid="{00000000-0004-0000-0100-000061000000}"/>
    <hyperlink ref="C15" r:id="rId99" xr:uid="{00000000-0004-0000-0100-000062000000}"/>
    <hyperlink ref="C16" r:id="rId100" xr:uid="{00000000-0004-0000-0100-000063000000}"/>
    <hyperlink ref="C17" r:id="rId101" xr:uid="{00000000-0004-0000-0100-000064000000}"/>
    <hyperlink ref="C18" r:id="rId102" xr:uid="{00000000-0004-0000-0100-000065000000}"/>
    <hyperlink ref="C19" r:id="rId103" xr:uid="{00000000-0004-0000-0100-000066000000}"/>
    <hyperlink ref="C20" r:id="rId104" xr:uid="{00000000-0004-0000-0100-000067000000}"/>
    <hyperlink ref="C21" r:id="rId105" xr:uid="{00000000-0004-0000-0100-000068000000}"/>
    <hyperlink ref="C22" r:id="rId106" xr:uid="{00000000-0004-0000-0100-000069000000}"/>
    <hyperlink ref="C23" r:id="rId107" xr:uid="{00000000-0004-0000-0100-00006A000000}"/>
    <hyperlink ref="C24" r:id="rId108" xr:uid="{00000000-0004-0000-0100-00006B000000}"/>
    <hyperlink ref="C25" r:id="rId109" xr:uid="{00000000-0004-0000-0100-00006C000000}"/>
    <hyperlink ref="C26" r:id="rId110" xr:uid="{00000000-0004-0000-0100-00006D000000}"/>
    <hyperlink ref="C27" r:id="rId111" xr:uid="{00000000-0004-0000-0100-00006E000000}"/>
    <hyperlink ref="C28" r:id="rId112" xr:uid="{00000000-0004-0000-0100-00006F000000}"/>
    <hyperlink ref="C29" r:id="rId113" xr:uid="{00000000-0004-0000-0100-000070000000}"/>
    <hyperlink ref="C30" r:id="rId114" xr:uid="{00000000-0004-0000-0100-000071000000}"/>
    <hyperlink ref="C31" r:id="rId115" xr:uid="{00000000-0004-0000-0100-000072000000}"/>
    <hyperlink ref="C32" r:id="rId116" xr:uid="{00000000-0004-0000-0100-000073000000}"/>
    <hyperlink ref="C33" r:id="rId117" xr:uid="{00000000-0004-0000-0100-000074000000}"/>
    <hyperlink ref="C34" r:id="rId118" xr:uid="{00000000-0004-0000-0100-000075000000}"/>
    <hyperlink ref="C35" r:id="rId119" xr:uid="{00000000-0004-0000-0100-000076000000}"/>
    <hyperlink ref="C36" r:id="rId120" xr:uid="{00000000-0004-0000-0100-000077000000}"/>
    <hyperlink ref="C37" r:id="rId121" xr:uid="{00000000-0004-0000-0100-000078000000}"/>
    <hyperlink ref="C38" r:id="rId122" xr:uid="{00000000-0004-0000-0100-000079000000}"/>
    <hyperlink ref="C39" r:id="rId123" xr:uid="{00000000-0004-0000-0100-00007A000000}"/>
    <hyperlink ref="C40" r:id="rId124" xr:uid="{00000000-0004-0000-0100-00007B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7B181FEBB6040ABE8684239C36F25" ma:contentTypeVersion="13" ma:contentTypeDescription="Create a new document." ma:contentTypeScope="" ma:versionID="0066a463654a8ca64d9de9ccfbd6f5ad">
  <xsd:schema xmlns:xsd="http://www.w3.org/2001/XMLSchema" xmlns:xs="http://www.w3.org/2001/XMLSchema" xmlns:p="http://schemas.microsoft.com/office/2006/metadata/properties" xmlns:ns2="aba4351b-461f-47d5-b14e-c16005df6603" xmlns:ns3="6a3cde69-71c4-4a48-995a-0c5a83b8d1d9" targetNamespace="http://schemas.microsoft.com/office/2006/metadata/properties" ma:root="true" ma:fieldsID="aed67686c3f49f572eb5106e642477d3" ns2:_="" ns3:_="">
    <xsd:import namespace="aba4351b-461f-47d5-b14e-c16005df6603"/>
    <xsd:import namespace="6a3cde69-71c4-4a48-995a-0c5a83b8d1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4351b-461f-47d5-b14e-c16005df6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38a880-fac0-42a1-b36a-c53c6e5c3d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cde69-71c4-4a48-995a-0c5a83b8d1d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7703ff4-e625-4d3d-842c-4516254b7492}" ma:internalName="TaxCatchAll" ma:showField="CatchAllData" ma:web="6a3cde69-71c4-4a48-995a-0c5a83b8d1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a4351b-461f-47d5-b14e-c16005df6603">
      <Terms xmlns="http://schemas.microsoft.com/office/infopath/2007/PartnerControls"/>
    </lcf76f155ced4ddcb4097134ff3c332f>
    <TaxCatchAll xmlns="6a3cde69-71c4-4a48-995a-0c5a83b8d1d9" xsi:nil="true"/>
  </documentManagement>
</p:properties>
</file>

<file path=customXml/itemProps1.xml><?xml version="1.0" encoding="utf-8"?>
<ds:datastoreItem xmlns:ds="http://schemas.openxmlformats.org/officeDocument/2006/customXml" ds:itemID="{A60F21E1-0FD9-4CC8-BC0B-FC84C53F61FC}">
  <ds:schemaRefs/>
</ds:datastoreItem>
</file>

<file path=customXml/itemProps2.xml><?xml version="1.0" encoding="utf-8"?>
<ds:datastoreItem xmlns:ds="http://schemas.openxmlformats.org/officeDocument/2006/customXml" ds:itemID="{A0998AF1-1474-451B-A10D-9FC7948AFEFA}">
  <ds:schemaRefs/>
</ds:datastoreItem>
</file>

<file path=customXml/itemProps3.xml><?xml version="1.0" encoding="utf-8"?>
<ds:datastoreItem xmlns:ds="http://schemas.openxmlformats.org/officeDocument/2006/customXml" ds:itemID="{6D5E51D7-18B5-4CD7-8502-496E982853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data</vt:lpstr>
      <vt:lpstr>Seri 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Nguyen</dc:creator>
  <cp:lastModifiedBy>Hoang Anh</cp:lastModifiedBy>
  <cp:lastPrinted>2025-04-03T07:01:00Z</cp:lastPrinted>
  <dcterms:created xsi:type="dcterms:W3CDTF">2024-03-25T06:57:00Z</dcterms:created>
  <dcterms:modified xsi:type="dcterms:W3CDTF">2025-04-21T03:48:29Z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3BF6F1B1901D4D2DBBC83A311AEA76AF_12</vt:lpwstr>
  </property>
  <property fmtid="{D5CDD505-2E9C-101B-9397-08002B2CF9AE}" pid="4" name="ContentTypeId">
    <vt:lpwstr>0x0101005147B181FEBB6040ABE8684239C36F25</vt:lpwstr>
  </property>
  <property fmtid="{D5CDD505-2E9C-101B-9397-08002B2CF9AE}" pid="5" name="MediaServiceImageTags">
    <vt:lpwstr/>
  </property>
</Properties>
</file>