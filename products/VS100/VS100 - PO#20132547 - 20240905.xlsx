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Cheese\Desktop\Code\code PO\VS100 - PO#20132547 - 20240905\VS100 - PO#20132547 - 20240905\"/>
    </mc:Choice>
  </mc:AlternateContent>
  <xr:revisionPtr revIDLastSave="0" documentId="13_ncr:1_{3D2989A4-B3E2-46AE-949E-86461637E0E7}" xr6:coauthVersionLast="47" xr6:coauthVersionMax="47" xr10:uidLastSave="{00000000-0000-0000-0000-000000000000}"/>
  <bookViews>
    <workbookView xWindow="3615" yWindow="3615" windowWidth="17280" windowHeight="10005" xr2:uid="{00000000-000D-0000-FFFF-FFFF00000000}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1" l="1"/>
  <c r="P34" i="11"/>
  <c r="O34" i="11"/>
  <c r="N34" i="11"/>
  <c r="Q33" i="11"/>
  <c r="P33" i="11"/>
  <c r="O33" i="11"/>
  <c r="N33" i="11"/>
  <c r="Q32" i="11"/>
  <c r="P32" i="11"/>
  <c r="O32" i="11"/>
  <c r="N32" i="11"/>
  <c r="Q31" i="11"/>
  <c r="P31" i="11"/>
  <c r="O31" i="11"/>
  <c r="N31" i="11"/>
</calcChain>
</file>

<file path=xl/sharedStrings.xml><?xml version="1.0" encoding="utf-8"?>
<sst xmlns="http://schemas.openxmlformats.org/spreadsheetml/2006/main" count="123" uniqueCount="62">
  <si>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</si>
  <si>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</si>
  <si>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</si>
  <si>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</si>
  <si>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</si>
  <si>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</si>
  <si>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</si>
  <si>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</si>
  <si>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VS100</t>
  </si>
  <si>
    <t xml:space="preserve">Số báo cáo </t>
  </si>
  <si>
    <t xml:space="preserve">NV kiểm tra </t>
  </si>
  <si>
    <t xml:space="preserve">Ngày tháng </t>
  </si>
  <si>
    <t>2024.09.05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</si>
  <si>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</si>
  <si>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</si>
  <si>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</si>
  <si>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</si>
  <si>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</si>
  <si>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</si>
  <si>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</si>
  <si>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</si>
  <si>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</si>
  <si>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</si>
  <si>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</si>
  <si>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</si>
  <si>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</si>
  <si>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</si>
  <si>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</si>
  <si>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</si>
  <si>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</si>
  <si>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</si>
  <si>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</si>
  <si>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</si>
  <si>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</si>
  <si>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</si>
  <si>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 xml:space="preserve">Barcode
số tem </t>
  </si>
  <si>
    <t>NA</t>
  </si>
  <si>
    <t>1500V 1mA</t>
  </si>
  <si>
    <t>≥72.3</t>
  </si>
  <si>
    <t>≥130</t>
  </si>
  <si>
    <t>≥38.8</t>
  </si>
  <si>
    <t>35LBs</t>
  </si>
  <si>
    <t>3kg</t>
  </si>
  <si>
    <t>23.4kg</t>
  </si>
  <si>
    <t>4-10mm</t>
  </si>
  <si>
    <t>≥9</t>
  </si>
  <si>
    <t>≥18.5</t>
  </si>
  <si>
    <r>
      <rPr>
        <b/>
        <sz val="9"/>
        <rFont val="宋体"/>
        <charset val="134"/>
      </rPr>
      <t>≥</t>
    </r>
    <r>
      <rPr>
        <b/>
        <sz val="9"/>
        <rFont val="Calibri"/>
        <charset val="134"/>
      </rPr>
      <t>18.5</t>
    </r>
  </si>
  <si>
    <t xml:space="preserve"> </t>
  </si>
  <si>
    <t>U05UX505A0S8</t>
  </si>
  <si>
    <t>\</t>
  </si>
  <si>
    <t>P</t>
  </si>
  <si>
    <t>U05UX505A1F7</t>
  </si>
  <si>
    <t>U05UX505Z8U8</t>
  </si>
  <si>
    <t>U05UX505A0Z4</t>
  </si>
  <si>
    <t>U05UX505Z9R0</t>
  </si>
  <si>
    <t>Min</t>
  </si>
  <si>
    <t>Mean</t>
  </si>
  <si>
    <t>Max</t>
  </si>
  <si>
    <t>STDEV</t>
  </si>
  <si>
    <t>Form No.: EP-F001 Rev.C</t>
  </si>
  <si>
    <t>Hà/Trung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</si>
</sst>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_);[Red]\(0.00\)"/>
    <numFmt numFmtId="169" formatCode="0_);[Red]\(0\)"/>
    <numFmt numFmtId="170" formatCode="dd\-mmm\-yy"/>
    <numFmt numFmtId="171" formatCode="0.0"/>
  </numFmts>
  <fonts count="39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b/>
      <sz val="9"/>
      <name val="新細明體"/>
      <charset val="136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宋体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b/>
      <sz val="9"/>
      <name val="宋体"/>
      <charset val="134"/>
    </font>
    <font>
      <b/>
      <sz val="9"/>
      <name val="Calibri"/>
      <charset val="134"/>
    </font>
    <font>
      <sz val="11"/>
      <name val="新細明體"/>
      <charset val="136"/>
    </font>
    <font>
      <sz val="9"/>
      <name val="新細明體"/>
      <charset val="136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1"/>
      <color theme="1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70">
    <xf numFmtId="0" fontId="0" fillId="0" borderId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0" borderId="0"/>
    <xf numFmtId="0" fontId="1" fillId="0" borderId="0"/>
    <xf numFmtId="0" fontId="7" fillId="0" borderId="0"/>
    <xf numFmtId="0" fontId="3" fillId="0" borderId="0"/>
    <xf numFmtId="0" fontId="7" fillId="0" borderId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1" fillId="0" borderId="0"/>
    <xf numFmtId="0" fontId="38" fillId="0" borderId="0"/>
    <xf numFmtId="0" fontId="38" fillId="0" borderId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3" borderId="15" applyNumberFormat="0" applyAlignment="0" applyProtection="0"/>
    <xf numFmtId="0" fontId="29" fillId="23" borderId="15" applyNumberFormat="0" applyAlignment="0" applyProtection="0"/>
    <xf numFmtId="0" fontId="29" fillId="23" borderId="15" applyNumberFormat="0" applyAlignment="0" applyProtection="0"/>
    <xf numFmtId="0" fontId="29" fillId="23" borderId="15" applyNumberFormat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1" fillId="24" borderId="17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2" borderId="18" applyNumberFormat="0" applyAlignment="0" applyProtection="0"/>
    <xf numFmtId="0" fontId="33" fillId="2" borderId="18" applyNumberFormat="0" applyAlignment="0" applyProtection="0"/>
    <xf numFmtId="0" fontId="33" fillId="2" borderId="18" applyNumberFormat="0" applyAlignment="0" applyProtection="0"/>
    <xf numFmtId="0" fontId="33" fillId="2" borderId="18" applyNumberFormat="0" applyAlignment="0" applyProtection="0"/>
    <xf numFmtId="0" fontId="34" fillId="10" borderId="18" applyNumberFormat="0" applyAlignment="0" applyProtection="0"/>
    <xf numFmtId="0" fontId="34" fillId="10" borderId="18" applyNumberFormat="0" applyAlignment="0" applyProtection="0"/>
    <xf numFmtId="0" fontId="34" fillId="10" borderId="18" applyNumberFormat="0" applyAlignment="0" applyProtection="0"/>
    <xf numFmtId="0" fontId="34" fillId="10" borderId="18" applyNumberFormat="0" applyAlignment="0" applyProtection="0"/>
    <xf numFmtId="0" fontId="35" fillId="2" borderId="19" applyNumberFormat="0" applyAlignment="0" applyProtection="0"/>
    <xf numFmtId="0" fontId="35" fillId="2" borderId="19" applyNumberFormat="0" applyAlignment="0" applyProtection="0"/>
    <xf numFmtId="0" fontId="35" fillId="2" borderId="19" applyNumberFormat="0" applyAlignment="0" applyProtection="0"/>
    <xf numFmtId="0" fontId="35" fillId="2" borderId="19" applyNumberFormat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</cellStyleXfs>
  <cellXfs count="85">
    <xf numFmtId="0" fontId="0" fillId="0" borderId="0" xfId="0"/>
    <xf numFmtId="0" fontId="1" fillId="0" borderId="0" xfId="86"/>
    <xf numFmtId="0" fontId="38" fillId="0" borderId="0" xfId="87"/>
    <xf numFmtId="168" fontId="38" fillId="0" borderId="0" xfId="87" applyNumberFormat="1"/>
    <xf numFmtId="0" fontId="4" fillId="0" borderId="1" xfId="77" applyFont="1" applyBorder="1" applyAlignment="1">
      <alignment vertical="center"/>
    </xf>
    <xf numFmtId="0" fontId="6" fillId="0" borderId="1" xfId="87" applyFont="1" applyBorder="1"/>
    <xf numFmtId="0" fontId="7" fillId="0" borderId="1" xfId="77" applyBorder="1"/>
    <xf numFmtId="0" fontId="38" fillId="0" borderId="1" xfId="87" applyBorder="1"/>
    <xf numFmtId="0" fontId="8" fillId="0" borderId="1" xfId="77" applyFont="1" applyBorder="1" applyAlignment="1">
      <alignment horizontal="center" vertical="center" wrapText="1"/>
    </xf>
    <xf numFmtId="0" fontId="8" fillId="0" borderId="1" xfId="77" applyFont="1" applyBorder="1" applyAlignment="1" applyProtection="1">
      <alignment vertical="center" wrapText="1"/>
      <protection locked="0"/>
    </xf>
    <xf numFmtId="0" fontId="8" fillId="0" borderId="1" xfId="77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77" applyFont="1" applyBorder="1" applyAlignment="1" applyProtection="1">
      <alignment horizontal="center" vertical="center"/>
      <protection locked="0"/>
    </xf>
    <xf numFmtId="0" fontId="12" fillId="0" borderId="1" xfId="77" applyFont="1" applyBorder="1" applyAlignment="1">
      <alignment horizontal="center"/>
    </xf>
    <xf numFmtId="2" fontId="13" fillId="0" borderId="1" xfId="77" applyNumberFormat="1" applyFont="1" applyBorder="1" applyAlignment="1" applyProtection="1">
      <alignment horizontal="center" vertical="center"/>
      <protection locked="0"/>
    </xf>
    <xf numFmtId="0" fontId="14" fillId="0" borderId="1" xfId="77" applyFont="1" applyBorder="1" applyProtection="1">
      <protection locked="0"/>
    </xf>
    <xf numFmtId="168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13" fillId="0" borderId="1" xfId="77" applyNumberFormat="1" applyFont="1" applyBorder="1" applyProtection="1">
      <protection locked="0"/>
    </xf>
    <xf numFmtId="169" fontId="13" fillId="0" borderId="1" xfId="77" applyNumberFormat="1" applyFont="1" applyBorder="1" applyProtection="1">
      <protection locked="0"/>
    </xf>
    <xf numFmtId="168" fontId="13" fillId="0" borderId="1" xfId="76" applyNumberFormat="1" applyFont="1" applyBorder="1" applyAlignment="1" applyProtection="1">
      <alignment horizontal="center" vertical="center"/>
      <protection locked="0"/>
    </xf>
    <xf numFmtId="168" fontId="13" fillId="0" borderId="1" xfId="0" applyNumberFormat="1" applyFont="1" applyBorder="1" applyAlignment="1">
      <alignment vertical="center"/>
    </xf>
    <xf numFmtId="0" fontId="15" fillId="0" borderId="1" xfId="77" applyFont="1" applyBorder="1" applyAlignment="1">
      <alignment horizontal="center"/>
    </xf>
    <xf numFmtId="168" fontId="13" fillId="0" borderId="1" xfId="76" applyNumberFormat="1" applyFont="1" applyBorder="1" applyAlignment="1" applyProtection="1">
      <alignment vertical="center"/>
      <protection locked="0"/>
    </xf>
    <xf numFmtId="168" fontId="13" fillId="0" borderId="1" xfId="77" applyNumberFormat="1" applyFont="1" applyBorder="1" applyAlignment="1" applyProtection="1">
      <alignment vertical="center"/>
      <protection locked="0"/>
    </xf>
    <xf numFmtId="0" fontId="15" fillId="3" borderId="1" xfId="77" applyFont="1" applyFill="1" applyBorder="1" applyAlignment="1">
      <alignment horizontal="center"/>
    </xf>
    <xf numFmtId="2" fontId="15" fillId="4" borderId="1" xfId="77" applyNumberFormat="1" applyFont="1" applyFill="1" applyBorder="1" applyAlignment="1">
      <alignment vertical="center"/>
    </xf>
    <xf numFmtId="0" fontId="15" fillId="0" borderId="1" xfId="77" applyFont="1" applyBorder="1"/>
    <xf numFmtId="0" fontId="15" fillId="0" borderId="1" xfId="77" applyFont="1" applyBorder="1" applyProtection="1">
      <protection locked="0"/>
    </xf>
    <xf numFmtId="168" fontId="15" fillId="0" borderId="1" xfId="77" applyNumberFormat="1" applyFont="1" applyBorder="1" applyProtection="1">
      <protection locked="0"/>
    </xf>
    <xf numFmtId="0" fontId="15" fillId="0" borderId="0" xfId="77" applyFont="1"/>
    <xf numFmtId="168" fontId="15" fillId="0" borderId="0" xfId="77" applyNumberFormat="1" applyFont="1"/>
    <xf numFmtId="0" fontId="13" fillId="0" borderId="1" xfId="77" applyFont="1" applyBorder="1" applyProtection="1">
      <protection locked="0"/>
    </xf>
    <xf numFmtId="171" fontId="13" fillId="0" borderId="1" xfId="77" applyNumberFormat="1" applyFont="1" applyBorder="1" applyProtection="1">
      <protection locked="0"/>
    </xf>
    <xf numFmtId="168" fontId="13" fillId="0" borderId="1" xfId="77" applyNumberFormat="1" applyFont="1" applyBorder="1" applyProtection="1">
      <protection locked="0"/>
    </xf>
    <xf numFmtId="0" fontId="18" fillId="0" borderId="1" xfId="77" applyFont="1" applyBorder="1" applyProtection="1">
      <protection locked="0"/>
    </xf>
    <xf numFmtId="0" fontId="7" fillId="0" borderId="0" xfId="77"/>
    <xf numFmtId="2" fontId="7" fillId="0" borderId="1" xfId="77" applyNumberFormat="1" applyBorder="1" applyAlignment="1" applyProtection="1">
      <alignment horizontal="center" vertical="center"/>
      <protection locked="0"/>
    </xf>
    <xf numFmtId="14" fontId="38" fillId="0" borderId="0" xfId="87" applyNumberFormat="1"/>
    <xf numFmtId="2" fontId="19" fillId="4" borderId="1" xfId="77" applyNumberFormat="1" applyFont="1" applyFill="1" applyBorder="1" applyAlignment="1">
      <alignment horizontal="center" vertical="center"/>
    </xf>
    <xf numFmtId="0" fontId="7" fillId="0" borderId="1" xfId="77" applyBorder="1" applyProtection="1">
      <protection locked="0"/>
    </xf>
    <xf numFmtId="0" fontId="5" fillId="0" borderId="1" xfId="86" applyFont="1" applyBorder="1" applyAlignment="1">
      <alignment horizontal="left" vertical="center"/>
    </xf>
    <xf numFmtId="0" fontId="5" fillId="0" borderId="1" xfId="77" applyFont="1" applyBorder="1" applyAlignment="1">
      <alignment horizontal="left" vertical="center"/>
    </xf>
    <xf numFmtId="14" fontId="5" fillId="0" borderId="1" xfId="77" quotePrefix="1" applyNumberFormat="1" applyFont="1" applyBorder="1" applyAlignment="1">
      <alignment horizontal="left" vertical="center"/>
    </xf>
    <xf numFmtId="14" fontId="5" fillId="0" borderId="1" xfId="77" applyNumberFormat="1" applyFont="1" applyBorder="1" applyAlignment="1">
      <alignment horizontal="left" vertical="center"/>
    </xf>
    <xf numFmtId="0" fontId="3" fillId="0" borderId="1" xfId="77" applyFont="1" applyBorder="1" applyAlignment="1">
      <alignment horizontal="left" vertical="center"/>
    </xf>
    <xf numFmtId="0" fontId="4" fillId="0" borderId="1" xfId="77" applyFont="1" applyBorder="1" applyAlignment="1">
      <alignment horizontal="right" vertical="center"/>
    </xf>
    <xf numFmtId="0" fontId="7" fillId="0" borderId="1" xfId="77" applyBorder="1" applyAlignment="1">
      <alignment horizontal="center"/>
    </xf>
    <xf numFmtId="0" fontId="8" fillId="0" borderId="1" xfId="77" applyFont="1" applyBorder="1" applyAlignment="1">
      <alignment horizontal="center" vertical="center" wrapText="1"/>
    </xf>
    <xf numFmtId="0" fontId="5" fillId="0" borderId="1" xfId="77" applyFont="1" applyBorder="1" applyAlignment="1">
      <alignment horizontal="center" vertical="center" wrapText="1"/>
    </xf>
    <xf numFmtId="0" fontId="5" fillId="0" borderId="1" xfId="77" applyFont="1" applyBorder="1" applyAlignment="1">
      <alignment horizontal="center" vertical="center"/>
    </xf>
    <xf numFmtId="0" fontId="8" fillId="0" borderId="1" xfId="77" applyFont="1" applyBorder="1" applyAlignment="1" applyProtection="1">
      <alignment horizontal="center" vertical="center" wrapText="1"/>
      <protection locked="0"/>
    </xf>
    <xf numFmtId="0" fontId="9" fillId="2" borderId="1" xfId="77" applyFont="1" applyFill="1" applyBorder="1" applyAlignment="1" applyProtection="1">
      <alignment horizontal="center" vertical="center"/>
      <protection locked="0"/>
    </xf>
    <xf numFmtId="0" fontId="9" fillId="2" borderId="1" xfId="77" applyFont="1" applyFill="1" applyBorder="1" applyAlignment="1" applyProtection="1">
      <alignment horizontal="center" vertical="center" wrapText="1"/>
      <protection locked="0"/>
    </xf>
    <xf numFmtId="0" fontId="8" fillId="0" borderId="6" xfId="77" applyFont="1" applyBorder="1" applyAlignment="1" applyProtection="1">
      <alignment horizontal="center" vertical="center" wrapText="1"/>
      <protection locked="0"/>
    </xf>
    <xf numFmtId="0" fontId="8" fillId="0" borderId="7" xfId="77" applyFont="1" applyBorder="1" applyAlignment="1" applyProtection="1">
      <alignment horizontal="center" vertical="center" wrapText="1"/>
      <protection locked="0"/>
    </xf>
    <xf numFmtId="0" fontId="8" fillId="0" borderId="8" xfId="77" applyFont="1" applyBorder="1" applyAlignment="1" applyProtection="1">
      <alignment horizontal="center" vertical="center" wrapText="1"/>
      <protection locked="0"/>
    </xf>
    <xf numFmtId="168" fontId="8" fillId="0" borderId="6" xfId="77" applyNumberFormat="1" applyFont="1" applyBorder="1" applyAlignment="1" applyProtection="1">
      <alignment horizontal="center" vertical="center" wrapText="1"/>
      <protection locked="0"/>
    </xf>
    <xf numFmtId="168" fontId="8" fillId="0" borderId="7" xfId="77" applyNumberFormat="1" applyFont="1" applyBorder="1" applyAlignment="1" applyProtection="1">
      <alignment horizontal="center" vertical="center" wrapText="1"/>
      <protection locked="0"/>
    </xf>
    <xf numFmtId="168" fontId="8" fillId="0" borderId="8" xfId="77" applyNumberFormat="1" applyFont="1" applyBorder="1" applyAlignment="1" applyProtection="1">
      <alignment horizontal="center" vertical="center" wrapText="1"/>
      <protection locked="0"/>
    </xf>
    <xf numFmtId="49" fontId="9" fillId="2" borderId="1" xfId="77" applyNumberFormat="1" applyFont="1" applyFill="1" applyBorder="1" applyAlignment="1" applyProtection="1">
      <alignment horizontal="center" vertical="center"/>
      <protection locked="0"/>
    </xf>
    <xf numFmtId="0" fontId="16" fillId="2" borderId="1" xfId="77" applyFont="1" applyFill="1" applyBorder="1" applyAlignment="1" applyProtection="1">
      <alignment horizontal="center" vertical="center" wrapText="1"/>
      <protection locked="0"/>
    </xf>
    <xf numFmtId="0" fontId="17" fillId="2" borderId="1" xfId="77" applyFont="1" applyFill="1" applyBorder="1" applyAlignment="1" applyProtection="1">
      <alignment horizontal="center" vertical="center" wrapText="1"/>
      <protection locked="0"/>
    </xf>
    <xf numFmtId="0" fontId="16" fillId="2" borderId="1" xfId="77" applyFont="1" applyFill="1" applyBorder="1" applyAlignment="1" applyProtection="1">
      <alignment horizontal="center" vertical="center"/>
      <protection locked="0"/>
    </xf>
    <xf numFmtId="0" fontId="17" fillId="2" borderId="1" xfId="77" applyFont="1" applyFill="1" applyBorder="1" applyAlignment="1" applyProtection="1">
      <alignment horizontal="center" vertical="center"/>
      <protection locked="0"/>
    </xf>
    <xf numFmtId="0" fontId="8" fillId="0" borderId="11" xfId="77" applyFont="1" applyBorder="1" applyAlignment="1" applyProtection="1">
      <alignment horizontal="center" vertical="center" wrapText="1"/>
      <protection locked="0"/>
    </xf>
    <xf numFmtId="0" fontId="7" fillId="0" borderId="1" xfId="77" applyBorder="1" applyAlignment="1" applyProtection="1">
      <alignment horizontal="center" vertical="center"/>
      <protection locked="0"/>
    </xf>
    <xf numFmtId="0" fontId="1" fillId="0" borderId="1" xfId="86" applyBorder="1" applyAlignment="1">
      <alignment horizontal="center"/>
    </xf>
    <xf numFmtId="0" fontId="4" fillId="0" borderId="1" xfId="77" applyFont="1" applyBorder="1" applyAlignment="1">
      <alignment horizontal="center" vertical="center"/>
    </xf>
    <xf numFmtId="0" fontId="5" fillId="0" borderId="9" xfId="77" applyFont="1" applyBorder="1" applyAlignment="1" applyProtection="1">
      <alignment horizontal="center" vertical="center"/>
      <protection locked="0"/>
    </xf>
    <xf numFmtId="0" fontId="5" fillId="0" borderId="3" xfId="77" applyFont="1" applyBorder="1" applyAlignment="1" applyProtection="1">
      <alignment horizontal="center" vertical="center"/>
      <protection locked="0"/>
    </xf>
    <xf numFmtId="0" fontId="5" fillId="0" borderId="10" xfId="77" applyFont="1" applyBorder="1" applyAlignment="1" applyProtection="1">
      <alignment horizontal="center" vertical="center"/>
      <protection locked="0"/>
    </xf>
    <xf numFmtId="0" fontId="5" fillId="0" borderId="5" xfId="77" applyFont="1" applyBorder="1" applyAlignment="1" applyProtection="1">
      <alignment horizontal="center" vertical="center"/>
      <protection locked="0"/>
    </xf>
    <xf numFmtId="170" fontId="5" fillId="0" borderId="2" xfId="77" applyNumberFormat="1" applyFont="1" applyBorder="1" applyAlignment="1" applyProtection="1">
      <alignment horizontal="center" vertical="center"/>
      <protection locked="0"/>
    </xf>
    <xf numFmtId="170" fontId="5" fillId="0" borderId="9" xfId="77" applyNumberFormat="1" applyFont="1" applyBorder="1" applyAlignment="1" applyProtection="1">
      <alignment horizontal="center" vertical="center"/>
      <protection locked="0"/>
    </xf>
    <xf numFmtId="170" fontId="5" fillId="0" borderId="3" xfId="77" applyNumberFormat="1" applyFont="1" applyBorder="1" applyAlignment="1" applyProtection="1">
      <alignment horizontal="center" vertical="center"/>
      <protection locked="0"/>
    </xf>
    <xf numFmtId="170" fontId="5" fillId="0" borderId="4" xfId="77" applyNumberFormat="1" applyFont="1" applyBorder="1" applyAlignment="1" applyProtection="1">
      <alignment horizontal="center" vertical="center"/>
      <protection locked="0"/>
    </xf>
    <xf numFmtId="170" fontId="5" fillId="0" borderId="10" xfId="77" applyNumberFormat="1" applyFont="1" applyBorder="1" applyAlignment="1" applyProtection="1">
      <alignment horizontal="center" vertical="center"/>
      <protection locked="0"/>
    </xf>
    <xf numFmtId="170" fontId="5" fillId="0" borderId="5" xfId="77" applyNumberFormat="1" applyFont="1" applyBorder="1" applyAlignment="1" applyProtection="1">
      <alignment horizontal="center" vertical="center"/>
      <protection locked="0"/>
    </xf>
    <xf numFmtId="0" fontId="2" fillId="0" borderId="1" xfId="77" applyFont="1" applyBorder="1" applyAlignment="1">
      <alignment horizontal="center" vertical="center" wrapText="1"/>
    </xf>
    <xf numFmtId="0" fontId="5" fillId="0" borderId="2" xfId="77" applyFont="1" applyBorder="1" applyAlignment="1">
      <alignment horizontal="center" vertical="center"/>
    </xf>
    <xf numFmtId="0" fontId="5" fillId="0" borderId="3" xfId="77" applyFont="1" applyBorder="1" applyAlignment="1">
      <alignment horizontal="center" vertical="center"/>
    </xf>
    <xf numFmtId="0" fontId="5" fillId="0" borderId="4" xfId="77" applyFont="1" applyBorder="1" applyAlignment="1">
      <alignment horizontal="center" vertical="center"/>
    </xf>
    <xf numFmtId="0" fontId="5" fillId="0" borderId="5" xfId="77" applyFont="1" applyBorder="1" applyAlignment="1">
      <alignment horizontal="center" vertical="center"/>
    </xf>
  </cellXfs>
  <cellStyles count="170">
    <cellStyle name="20% - 强调文字颜色 1 2" xfId="1" xr:uid="{00000000-0005-0000-0000-000031000000}"/>
    <cellStyle name="20% - 强调文字颜色 1 3" xfId="2" xr:uid="{00000000-0005-0000-0000-000032000000}"/>
    <cellStyle name="20% - 强调文字颜色 1 4" xfId="3" xr:uid="{00000000-0005-0000-0000-000033000000}"/>
    <cellStyle name="20% - 强调文字颜色 1 5" xfId="4" xr:uid="{00000000-0005-0000-0000-000034000000}"/>
    <cellStyle name="20% - 强调文字颜色 2 2" xfId="5" xr:uid="{00000000-0005-0000-0000-000035000000}"/>
    <cellStyle name="20% - 强调文字颜色 2 3" xfId="6" xr:uid="{00000000-0005-0000-0000-000036000000}"/>
    <cellStyle name="20% - 强调文字颜色 2 4" xfId="7" xr:uid="{00000000-0005-0000-0000-000037000000}"/>
    <cellStyle name="20% - 强调文字颜色 2 5" xfId="8" xr:uid="{00000000-0005-0000-0000-000038000000}"/>
    <cellStyle name="20% - 强调文字颜色 3 2" xfId="9" xr:uid="{00000000-0005-0000-0000-000039000000}"/>
    <cellStyle name="20% - 强调文字颜色 3 3" xfId="10" xr:uid="{00000000-0005-0000-0000-00003A000000}"/>
    <cellStyle name="20% - 强调文字颜色 3 4" xfId="11" xr:uid="{00000000-0005-0000-0000-00003B000000}"/>
    <cellStyle name="20% - 强调文字颜色 3 5" xfId="12" xr:uid="{00000000-0005-0000-0000-00003C000000}"/>
    <cellStyle name="20% - 强调文字颜色 4 2" xfId="13" xr:uid="{00000000-0005-0000-0000-00003D000000}"/>
    <cellStyle name="20% - 强调文字颜色 4 3" xfId="14" xr:uid="{00000000-0005-0000-0000-00003E000000}"/>
    <cellStyle name="20% - 强调文字颜色 4 4" xfId="15" xr:uid="{00000000-0005-0000-0000-00003F000000}"/>
    <cellStyle name="20% - 强调文字颜色 4 5" xfId="16" xr:uid="{00000000-0005-0000-0000-000040000000}"/>
    <cellStyle name="20% - 强调文字颜色 5 2" xfId="17" xr:uid="{00000000-0005-0000-0000-000041000000}"/>
    <cellStyle name="20% - 强调文字颜色 5 3" xfId="18" xr:uid="{00000000-0005-0000-0000-000042000000}"/>
    <cellStyle name="20% - 强调文字颜色 5 4" xfId="19" xr:uid="{00000000-0005-0000-0000-000043000000}"/>
    <cellStyle name="20% - 强调文字颜色 5 5" xfId="20" xr:uid="{00000000-0005-0000-0000-000044000000}"/>
    <cellStyle name="20% - 强调文字颜色 6 2" xfId="21" xr:uid="{00000000-0005-0000-0000-000045000000}"/>
    <cellStyle name="20% - 强调文字颜色 6 3" xfId="22" xr:uid="{00000000-0005-0000-0000-000046000000}"/>
    <cellStyle name="20% - 强调文字颜色 6 4" xfId="23" xr:uid="{00000000-0005-0000-0000-000047000000}"/>
    <cellStyle name="20% - 强调文字颜色 6 5" xfId="24" xr:uid="{00000000-0005-0000-0000-000048000000}"/>
    <cellStyle name="40% - 强调文字颜色 1 2" xfId="25" xr:uid="{00000000-0005-0000-0000-000049000000}"/>
    <cellStyle name="40% - 强调文字颜色 1 3" xfId="26" xr:uid="{00000000-0005-0000-0000-00004A000000}"/>
    <cellStyle name="40% - 强调文字颜色 1 4" xfId="27" xr:uid="{00000000-0005-0000-0000-00004B000000}"/>
    <cellStyle name="40% - 强调文字颜色 1 5" xfId="28" xr:uid="{00000000-0005-0000-0000-00004C000000}"/>
    <cellStyle name="40% - 强调文字颜色 2 2" xfId="29" xr:uid="{00000000-0005-0000-0000-00004D000000}"/>
    <cellStyle name="40% - 强调文字颜色 2 3" xfId="30" xr:uid="{00000000-0005-0000-0000-00004E000000}"/>
    <cellStyle name="40% - 强调文字颜色 2 4" xfId="31" xr:uid="{00000000-0005-0000-0000-00004F000000}"/>
    <cellStyle name="40% - 强调文字颜色 2 5" xfId="32" xr:uid="{00000000-0005-0000-0000-000050000000}"/>
    <cellStyle name="40% - 强调文字颜色 3 2" xfId="33" xr:uid="{00000000-0005-0000-0000-000051000000}"/>
    <cellStyle name="40% - 强调文字颜色 3 3" xfId="34" xr:uid="{00000000-0005-0000-0000-000052000000}"/>
    <cellStyle name="40% - 强调文字颜色 3 4" xfId="35" xr:uid="{00000000-0005-0000-0000-000053000000}"/>
    <cellStyle name="40% - 强调文字颜色 3 5" xfId="36" xr:uid="{00000000-0005-0000-0000-000054000000}"/>
    <cellStyle name="40% - 强调文字颜色 4 2" xfId="37" xr:uid="{00000000-0005-0000-0000-000055000000}"/>
    <cellStyle name="40% - 强调文字颜色 4 3" xfId="38" xr:uid="{00000000-0005-0000-0000-000056000000}"/>
    <cellStyle name="40% - 强调文字颜色 4 4" xfId="39" xr:uid="{00000000-0005-0000-0000-000057000000}"/>
    <cellStyle name="40% - 强调文字颜色 4 5" xfId="40" xr:uid="{00000000-0005-0000-0000-000058000000}"/>
    <cellStyle name="40% - 强调文字颜色 5 2" xfId="41" xr:uid="{00000000-0005-0000-0000-000059000000}"/>
    <cellStyle name="40% - 强调文字颜色 5 3" xfId="42" xr:uid="{00000000-0005-0000-0000-00005A000000}"/>
    <cellStyle name="40% - 强调文字颜色 5 4" xfId="43" xr:uid="{00000000-0005-0000-0000-00005B000000}"/>
    <cellStyle name="40% - 强调文字颜色 5 5" xfId="44" xr:uid="{00000000-0005-0000-0000-00005C000000}"/>
    <cellStyle name="40% - 强调文字颜色 6 2" xfId="45" xr:uid="{00000000-0005-0000-0000-00005D000000}"/>
    <cellStyle name="40% - 强调文字颜色 6 3" xfId="46" xr:uid="{00000000-0005-0000-0000-00005E000000}"/>
    <cellStyle name="40% - 强调文字颜色 6 4" xfId="47" xr:uid="{00000000-0005-0000-0000-00005F000000}"/>
    <cellStyle name="40% - 强调文字颜色 6 5" xfId="48" xr:uid="{00000000-0005-0000-0000-000060000000}"/>
    <cellStyle name="60% - 强调文字颜色 1 2" xfId="49" xr:uid="{00000000-0005-0000-0000-000061000000}"/>
    <cellStyle name="60% - 强调文字颜色 1 3" xfId="50" xr:uid="{00000000-0005-0000-0000-000062000000}"/>
    <cellStyle name="60% - 强调文字颜色 1 4" xfId="51" xr:uid="{00000000-0005-0000-0000-000063000000}"/>
    <cellStyle name="60% - 强调文字颜色 1 5" xfId="52" xr:uid="{00000000-0005-0000-0000-000064000000}"/>
    <cellStyle name="60% - 强调文字颜色 2 2" xfId="53" xr:uid="{00000000-0005-0000-0000-000065000000}"/>
    <cellStyle name="60% - 强调文字颜色 2 3" xfId="54" xr:uid="{00000000-0005-0000-0000-000066000000}"/>
    <cellStyle name="60% - 强调文字颜色 2 4" xfId="55" xr:uid="{00000000-0005-0000-0000-000067000000}"/>
    <cellStyle name="60% - 强调文字颜色 2 5" xfId="56" xr:uid="{00000000-0005-0000-0000-000068000000}"/>
    <cellStyle name="60% - 强调文字颜色 3 2" xfId="57" xr:uid="{00000000-0005-0000-0000-000069000000}"/>
    <cellStyle name="60% - 强调文字颜色 3 3" xfId="58" xr:uid="{00000000-0005-0000-0000-00006A000000}"/>
    <cellStyle name="60% - 强调文字颜色 3 4" xfId="59" xr:uid="{00000000-0005-0000-0000-00006B000000}"/>
    <cellStyle name="60% - 强调文字颜色 3 5" xfId="60" xr:uid="{00000000-0005-0000-0000-00006C000000}"/>
    <cellStyle name="60% - 强调文字颜色 4 2" xfId="61" xr:uid="{00000000-0005-0000-0000-00006D000000}"/>
    <cellStyle name="60% - 强调文字颜色 4 3" xfId="62" xr:uid="{00000000-0005-0000-0000-00006E000000}"/>
    <cellStyle name="60% - 强调文字颜色 4 4" xfId="63" xr:uid="{00000000-0005-0000-0000-00006F000000}"/>
    <cellStyle name="60% - 强调文字颜色 4 5" xfId="64" xr:uid="{00000000-0005-0000-0000-000070000000}"/>
    <cellStyle name="60% - 强调文字颜色 5 2" xfId="65" xr:uid="{00000000-0005-0000-0000-000071000000}"/>
    <cellStyle name="60% - 强调文字颜色 5 3" xfId="66" xr:uid="{00000000-0005-0000-0000-000072000000}"/>
    <cellStyle name="60% - 强调文字颜色 5 4" xfId="67" xr:uid="{00000000-0005-0000-0000-000073000000}"/>
    <cellStyle name="60% - 强调文字颜色 5 5" xfId="68" xr:uid="{00000000-0005-0000-0000-000074000000}"/>
    <cellStyle name="60% - 强调文字颜色 6 2" xfId="69" xr:uid="{00000000-0005-0000-0000-000075000000}"/>
    <cellStyle name="60% - 强调文字颜色 6 3" xfId="70" xr:uid="{00000000-0005-0000-0000-000076000000}"/>
    <cellStyle name="60% - 强调文字颜色 6 4" xfId="71" xr:uid="{00000000-0005-0000-0000-000077000000}"/>
    <cellStyle name="60% - 强调文字颜色 6 5" xfId="72" xr:uid="{00000000-0005-0000-0000-000078000000}"/>
    <cellStyle name="Normal" xfId="0" builtinId="0"/>
    <cellStyle name="Normal 2" xfId="73" xr:uid="{00000000-0005-0000-0000-000079000000}"/>
    <cellStyle name="Normal 3" xfId="74" xr:uid="{00000000-0005-0000-0000-00007A000000}"/>
    <cellStyle name="一般_TAQUCW595" xfId="75" xr:uid="{00000000-0005-0000-0000-00007B000000}"/>
    <cellStyle name="一般_吸塵器測試數據表" xfId="76" xr:uid="{00000000-0005-0000-0000-00007C000000}"/>
    <cellStyle name="一般_吸塵器測試數據表 2" xfId="77" xr:uid="{00000000-0005-0000-0000-00007D000000}"/>
    <cellStyle name="好 2" xfId="78" xr:uid="{00000000-0005-0000-0000-00007E000000}"/>
    <cellStyle name="好 3" xfId="79" xr:uid="{00000000-0005-0000-0000-00007F000000}"/>
    <cellStyle name="好 4" xfId="80" xr:uid="{00000000-0005-0000-0000-000080000000}"/>
    <cellStyle name="好 5" xfId="81" xr:uid="{00000000-0005-0000-0000-000081000000}"/>
    <cellStyle name="差 2" xfId="82" xr:uid="{00000000-0005-0000-0000-000082000000}"/>
    <cellStyle name="差 3" xfId="83" xr:uid="{00000000-0005-0000-0000-000083000000}"/>
    <cellStyle name="差 4" xfId="84" xr:uid="{00000000-0005-0000-0000-000084000000}"/>
    <cellStyle name="差 5" xfId="85" xr:uid="{00000000-0005-0000-0000-000085000000}"/>
    <cellStyle name="常规 2" xfId="86" xr:uid="{00000000-0005-0000-0000-000086000000}"/>
    <cellStyle name="常规 3" xfId="87" xr:uid="{00000000-0005-0000-0000-000087000000}"/>
    <cellStyle name="常规 3 2" xfId="88" xr:uid="{00000000-0005-0000-0000-000088000000}"/>
    <cellStyle name="强调文字颜色 1 2" xfId="89" xr:uid="{00000000-0005-0000-0000-000089000000}"/>
    <cellStyle name="强调文字颜色 1 3" xfId="90" xr:uid="{00000000-0005-0000-0000-00008A000000}"/>
    <cellStyle name="强调文字颜色 1 4" xfId="91" xr:uid="{00000000-0005-0000-0000-00008B000000}"/>
    <cellStyle name="强调文字颜色 1 5" xfId="92" xr:uid="{00000000-0005-0000-0000-00008C000000}"/>
    <cellStyle name="强调文字颜色 2 2" xfId="93" xr:uid="{00000000-0005-0000-0000-00008D000000}"/>
    <cellStyle name="强调文字颜色 2 3" xfId="94" xr:uid="{00000000-0005-0000-0000-00008E000000}"/>
    <cellStyle name="强调文字颜色 2 4" xfId="95" xr:uid="{00000000-0005-0000-0000-00008F000000}"/>
    <cellStyle name="强调文字颜色 2 5" xfId="96" xr:uid="{00000000-0005-0000-0000-000090000000}"/>
    <cellStyle name="强调文字颜色 3 2" xfId="97" xr:uid="{00000000-0005-0000-0000-000091000000}"/>
    <cellStyle name="强调文字颜色 3 3" xfId="98" xr:uid="{00000000-0005-0000-0000-000092000000}"/>
    <cellStyle name="强调文字颜色 3 4" xfId="99" xr:uid="{00000000-0005-0000-0000-000093000000}"/>
    <cellStyle name="强调文字颜色 3 5" xfId="100" xr:uid="{00000000-0005-0000-0000-000094000000}"/>
    <cellStyle name="强调文字颜色 4 2" xfId="101" xr:uid="{00000000-0005-0000-0000-000095000000}"/>
    <cellStyle name="强调文字颜色 4 3" xfId="102" xr:uid="{00000000-0005-0000-0000-000096000000}"/>
    <cellStyle name="强调文字颜色 4 4" xfId="103" xr:uid="{00000000-0005-0000-0000-000097000000}"/>
    <cellStyle name="强调文字颜色 4 5" xfId="104" xr:uid="{00000000-0005-0000-0000-000098000000}"/>
    <cellStyle name="强调文字颜色 5 2" xfId="105" xr:uid="{00000000-0005-0000-0000-000099000000}"/>
    <cellStyle name="强调文字颜色 5 3" xfId="106" xr:uid="{00000000-0005-0000-0000-00009A000000}"/>
    <cellStyle name="强调文字颜色 5 4" xfId="107" xr:uid="{00000000-0005-0000-0000-00009B000000}"/>
    <cellStyle name="强调文字颜色 5 5" xfId="108" xr:uid="{00000000-0005-0000-0000-00009C000000}"/>
    <cellStyle name="强调文字颜色 6 2" xfId="109" xr:uid="{00000000-0005-0000-0000-00009D000000}"/>
    <cellStyle name="强调文字颜色 6 3" xfId="110" xr:uid="{00000000-0005-0000-0000-00009E000000}"/>
    <cellStyle name="强调文字颜色 6 4" xfId="111" xr:uid="{00000000-0005-0000-0000-00009F000000}"/>
    <cellStyle name="强调文字颜色 6 5" xfId="112" xr:uid="{00000000-0005-0000-0000-0000A0000000}"/>
    <cellStyle name="标题 1 2" xfId="113" xr:uid="{00000000-0005-0000-0000-0000A1000000}"/>
    <cellStyle name="标题 1 3" xfId="114" xr:uid="{00000000-0005-0000-0000-0000A2000000}"/>
    <cellStyle name="标题 1 4" xfId="115" xr:uid="{00000000-0005-0000-0000-0000A3000000}"/>
    <cellStyle name="标题 1 5" xfId="116" xr:uid="{00000000-0005-0000-0000-0000A4000000}"/>
    <cellStyle name="标题 2 2" xfId="117" xr:uid="{00000000-0005-0000-0000-0000A5000000}"/>
    <cellStyle name="标题 2 3" xfId="118" xr:uid="{00000000-0005-0000-0000-0000A6000000}"/>
    <cellStyle name="标题 2 4" xfId="119" xr:uid="{00000000-0005-0000-0000-0000A7000000}"/>
    <cellStyle name="标题 2 5" xfId="120" xr:uid="{00000000-0005-0000-0000-0000A8000000}"/>
    <cellStyle name="标题 3 2" xfId="121" xr:uid="{00000000-0005-0000-0000-0000A9000000}"/>
    <cellStyle name="标题 3 3" xfId="122" xr:uid="{00000000-0005-0000-0000-0000AA000000}"/>
    <cellStyle name="标题 3 4" xfId="123" xr:uid="{00000000-0005-0000-0000-0000AB000000}"/>
    <cellStyle name="标题 3 5" xfId="124" xr:uid="{00000000-0005-0000-0000-0000AC000000}"/>
    <cellStyle name="标题 4 2" xfId="125" xr:uid="{00000000-0005-0000-0000-0000AD000000}"/>
    <cellStyle name="标题 4 3" xfId="126" xr:uid="{00000000-0005-0000-0000-0000AE000000}"/>
    <cellStyle name="标题 4 4" xfId="127" xr:uid="{00000000-0005-0000-0000-0000AF000000}"/>
    <cellStyle name="标题 4 5" xfId="128" xr:uid="{00000000-0005-0000-0000-0000B0000000}"/>
    <cellStyle name="标题 5" xfId="129" xr:uid="{00000000-0005-0000-0000-0000B1000000}"/>
    <cellStyle name="标题 6" xfId="130" xr:uid="{00000000-0005-0000-0000-0000B2000000}"/>
    <cellStyle name="标题 7" xfId="131" xr:uid="{00000000-0005-0000-0000-0000B3000000}"/>
    <cellStyle name="标题 8" xfId="132" xr:uid="{00000000-0005-0000-0000-0000B4000000}"/>
    <cellStyle name="检查单元格 2" xfId="133" xr:uid="{00000000-0005-0000-0000-0000B5000000}"/>
    <cellStyle name="检查单元格 3" xfId="134" xr:uid="{00000000-0005-0000-0000-0000B6000000}"/>
    <cellStyle name="检查单元格 4" xfId="135" xr:uid="{00000000-0005-0000-0000-0000B7000000}"/>
    <cellStyle name="检查单元格 5" xfId="136" xr:uid="{00000000-0005-0000-0000-0000B8000000}"/>
    <cellStyle name="汇总 2" xfId="137" xr:uid="{00000000-0005-0000-0000-0000B9000000}"/>
    <cellStyle name="汇总 3" xfId="138" xr:uid="{00000000-0005-0000-0000-0000BA000000}"/>
    <cellStyle name="汇总 4" xfId="139" xr:uid="{00000000-0005-0000-0000-0000BB000000}"/>
    <cellStyle name="汇总 5" xfId="140" xr:uid="{00000000-0005-0000-0000-0000BC000000}"/>
    <cellStyle name="注释 2" xfId="141" xr:uid="{00000000-0005-0000-0000-0000BD000000}"/>
    <cellStyle name="解释性文本 2" xfId="142" xr:uid="{00000000-0005-0000-0000-0000BE000000}"/>
    <cellStyle name="解释性文本 3" xfId="143" xr:uid="{00000000-0005-0000-0000-0000BF000000}"/>
    <cellStyle name="解释性文本 4" xfId="144" xr:uid="{00000000-0005-0000-0000-0000C0000000}"/>
    <cellStyle name="解释性文本 5" xfId="145" xr:uid="{00000000-0005-0000-0000-0000C1000000}"/>
    <cellStyle name="警告文本 2" xfId="146" xr:uid="{00000000-0005-0000-0000-0000C2000000}"/>
    <cellStyle name="警告文本 3" xfId="147" xr:uid="{00000000-0005-0000-0000-0000C3000000}"/>
    <cellStyle name="警告文本 4" xfId="148" xr:uid="{00000000-0005-0000-0000-0000C4000000}"/>
    <cellStyle name="警告文本 5" xfId="149" xr:uid="{00000000-0005-0000-0000-0000C5000000}"/>
    <cellStyle name="计算 2" xfId="150" xr:uid="{00000000-0005-0000-0000-0000C6000000}"/>
    <cellStyle name="计算 3" xfId="151" xr:uid="{00000000-0005-0000-0000-0000C7000000}"/>
    <cellStyle name="计算 4" xfId="152" xr:uid="{00000000-0005-0000-0000-0000C8000000}"/>
    <cellStyle name="计算 5" xfId="153" xr:uid="{00000000-0005-0000-0000-0000C9000000}"/>
    <cellStyle name="输入 2" xfId="154" xr:uid="{00000000-0005-0000-0000-0000CA000000}"/>
    <cellStyle name="输入 3" xfId="155" xr:uid="{00000000-0005-0000-0000-0000CB000000}"/>
    <cellStyle name="输入 4" xfId="156" xr:uid="{00000000-0005-0000-0000-0000CC000000}"/>
    <cellStyle name="输入 5" xfId="157" xr:uid="{00000000-0005-0000-0000-0000CD000000}"/>
    <cellStyle name="输出 2" xfId="158" xr:uid="{00000000-0005-0000-0000-0000CE000000}"/>
    <cellStyle name="输出 3" xfId="159" xr:uid="{00000000-0005-0000-0000-0000CF000000}"/>
    <cellStyle name="输出 4" xfId="160" xr:uid="{00000000-0005-0000-0000-0000D0000000}"/>
    <cellStyle name="输出 5" xfId="161" xr:uid="{00000000-0005-0000-0000-0000D1000000}"/>
    <cellStyle name="适中 2" xfId="162" xr:uid="{00000000-0005-0000-0000-0000D2000000}"/>
    <cellStyle name="适中 3" xfId="163" xr:uid="{00000000-0005-0000-0000-0000D3000000}"/>
    <cellStyle name="适中 4" xfId="164" xr:uid="{00000000-0005-0000-0000-0000D4000000}"/>
    <cellStyle name="适中 5" xfId="165" xr:uid="{00000000-0005-0000-0000-0000D5000000}"/>
    <cellStyle name="链接单元格 2" xfId="166" xr:uid="{00000000-0005-0000-0000-0000D6000000}"/>
    <cellStyle name="链接单元格 3" xfId="167" xr:uid="{00000000-0005-0000-0000-0000D7000000}"/>
    <cellStyle name="链接单元格 4" xfId="168" xr:uid="{00000000-0005-0000-0000-0000D8000000}"/>
    <cellStyle name="链接单元格 5" xfId="169" xr:uid="{00000000-0005-0000-0000-0000D9000000}"/>
  </cellStyles>
  <dxfs count="5"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143"/>
        <a:stretch>
          <a:fillRect/>
        </a:stretch>
      </xdr:blipFill>
      <xdr:spPr>
        <a:xfrm>
          <a:off x="161925" y="57150"/>
          <a:ext cx="204279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I4" sqref="I4:J5"/>
    </sheetView>
  </sheetViews>
  <sheetFormatPr defaultColWidth="9" defaultRowHeight="14.25"/>
  <cols>
    <col min="1" max="1" width="18.265625" style="2" customWidth="1"/>
    <col min="2" max="2" width="10.73046875" style="2" customWidth="1"/>
    <col min="3" max="3" width="8.3984375" style="2" customWidth="1"/>
    <col min="4" max="4" width="6.86328125" style="2" customWidth="1"/>
    <col min="5" max="6" width="12.73046875" style="2" customWidth="1"/>
    <col min="7" max="7" width="12.73046875" style="3" customWidth="1"/>
    <col min="8" max="8" width="12.73046875" style="2" customWidth="1"/>
    <col min="9" max="9" width="7.265625" style="2" customWidth="1"/>
    <col min="10" max="10" width="7.3984375" style="2" customWidth="1"/>
    <col min="11" max="11" width="7.73046875" style="2" customWidth="1"/>
    <col min="12" max="12" width="5.86328125" style="2" customWidth="1"/>
    <col min="13" max="13" width="6.53125" style="2" customWidth="1"/>
    <col min="14" max="14" width="6.3984375" style="2" customWidth="1"/>
    <col min="15" max="15" width="6.265625" style="2" customWidth="1"/>
    <col min="16" max="16" width="7.53125" style="2" customWidth="1"/>
    <col min="17" max="17" width="7" style="2" hidden="1" customWidth="1"/>
    <col min="18" max="18" width="10.73046875" style="2" customWidth="1"/>
    <col min="19" max="16384" width="9" style="2"/>
  </cols>
  <sheetData>
    <row r="1" spans="1:18" s="1" customFormat="1" ht="20.25" customHeight="1">
      <c r="A1" s="68"/>
      <c r="B1" s="68"/>
      <c r="C1" s="68"/>
      <c r="D1" s="80" t="s">
        <v>0</v>
      </c>
      <c r="E1" s="80"/>
      <c r="F1" s="80"/>
      <c r="G1" s="80"/>
      <c r="H1" s="80"/>
      <c r="I1" s="80"/>
      <c r="J1" s="80"/>
      <c r="K1" s="80"/>
      <c r="L1" s="80"/>
      <c r="M1" s="42" t="s">
        <v>1</v>
      </c>
      <c r="N1" s="42"/>
      <c r="O1" s="42" t="s">
        <v>2</v>
      </c>
      <c r="P1" s="42"/>
    </row>
    <row r="2" spans="1:18" s="1" customFormat="1" ht="20.25" customHeight="1">
      <c r="A2" s="68"/>
      <c r="B2" s="68"/>
      <c r="C2" s="68"/>
      <c r="D2" s="80"/>
      <c r="E2" s="80"/>
      <c r="F2" s="80"/>
      <c r="G2" s="80"/>
      <c r="H2" s="80"/>
      <c r="I2" s="80"/>
      <c r="J2" s="80"/>
      <c r="K2" s="80"/>
      <c r="L2" s="80"/>
      <c r="M2" s="43" t="s">
        <v>3</v>
      </c>
      <c r="N2" s="43"/>
      <c r="O2" s="43" t="s">
        <v>4</v>
      </c>
      <c r="P2" s="43"/>
    </row>
    <row r="3" spans="1:18" s="1" customFormat="1" ht="20.25" customHeight="1">
      <c r="A3" s="68"/>
      <c r="B3" s="68"/>
      <c r="C3" s="68"/>
      <c r="D3" s="80"/>
      <c r="E3" s="80"/>
      <c r="F3" s="80"/>
      <c r="G3" s="80"/>
      <c r="H3" s="80"/>
      <c r="I3" s="80"/>
      <c r="J3" s="80"/>
      <c r="K3" s="80"/>
      <c r="L3" s="80"/>
      <c r="M3" s="43" t="s">
        <v>5</v>
      </c>
      <c r="N3" s="43"/>
      <c r="O3" s="44" t="s">
        <v>6</v>
      </c>
      <c r="P3" s="45"/>
    </row>
    <row r="4" spans="1:18" ht="15">
      <c r="A4" s="46" t="s">
        <v>7</v>
      </c>
      <c r="B4" s="46"/>
      <c r="C4" s="69" t="s">
        <v>8</v>
      </c>
      <c r="D4" s="69"/>
      <c r="E4" s="4" t="s">
        <v>9</v>
      </c>
      <c r="F4" s="81">
        <v>20132547</v>
      </c>
      <c r="G4" s="82"/>
      <c r="H4" s="5" t="s">
        <v>10</v>
      </c>
      <c r="I4" s="70" t="s">
        <v>61</v>
      </c>
      <c r="J4" s="71"/>
      <c r="K4" s="47" t="s">
        <v>11</v>
      </c>
      <c r="L4" s="47"/>
      <c r="M4" s="74" t="s">
        <v>12</v>
      </c>
      <c r="N4" s="75"/>
      <c r="O4" s="75"/>
      <c r="P4" s="76"/>
      <c r="Q4" s="7"/>
    </row>
    <row r="5" spans="1:18" ht="15.4">
      <c r="A5" s="46" t="s">
        <v>13</v>
      </c>
      <c r="B5" s="46"/>
      <c r="C5" s="69"/>
      <c r="D5" s="69"/>
      <c r="E5" s="6" t="s">
        <v>14</v>
      </c>
      <c r="F5" s="83"/>
      <c r="G5" s="84"/>
      <c r="H5" s="7" t="s">
        <v>15</v>
      </c>
      <c r="I5" s="72"/>
      <c r="J5" s="73"/>
      <c r="K5" s="48" t="s">
        <v>16</v>
      </c>
      <c r="L5" s="48"/>
      <c r="M5" s="77"/>
      <c r="N5" s="78"/>
      <c r="O5" s="78"/>
      <c r="P5" s="79"/>
      <c r="Q5" s="7"/>
    </row>
    <row r="6" spans="1:18" ht="25.5" customHeight="1">
      <c r="A6" s="8" t="s">
        <v>17</v>
      </c>
      <c r="B6" s="52" t="s">
        <v>18</v>
      </c>
      <c r="C6" s="9" t="s">
        <v>19</v>
      </c>
      <c r="D6" s="52" t="s">
        <v>20</v>
      </c>
      <c r="E6" s="55" t="s">
        <v>21</v>
      </c>
      <c r="F6" s="55" t="s">
        <v>22</v>
      </c>
      <c r="G6" s="58" t="s">
        <v>23</v>
      </c>
      <c r="H6" s="52" t="s">
        <v>24</v>
      </c>
      <c r="I6" s="52" t="s">
        <v>25</v>
      </c>
      <c r="J6" s="52" t="s">
        <v>26</v>
      </c>
      <c r="K6" s="52" t="s">
        <v>27</v>
      </c>
      <c r="L6" s="52" t="s">
        <v>28</v>
      </c>
      <c r="M6" s="52" t="s">
        <v>29</v>
      </c>
      <c r="N6" s="52" t="s">
        <v>30</v>
      </c>
      <c r="O6" s="52" t="s">
        <v>31</v>
      </c>
      <c r="P6" s="52" t="s">
        <v>32</v>
      </c>
      <c r="Q6" s="66"/>
    </row>
    <row r="7" spans="1:18" ht="14.25" customHeight="1">
      <c r="A7" s="49" t="s">
        <v>33</v>
      </c>
      <c r="B7" s="52"/>
      <c r="C7" s="52" t="s">
        <v>34</v>
      </c>
      <c r="D7" s="52"/>
      <c r="E7" s="56"/>
      <c r="F7" s="56"/>
      <c r="G7" s="59"/>
      <c r="H7" s="52"/>
      <c r="I7" s="52"/>
      <c r="J7" s="52"/>
      <c r="K7" s="52"/>
      <c r="L7" s="52"/>
      <c r="M7" s="52"/>
      <c r="N7" s="52"/>
      <c r="O7" s="52"/>
      <c r="P7" s="52"/>
      <c r="Q7" s="66"/>
    </row>
    <row r="8" spans="1:18">
      <c r="A8" s="49"/>
      <c r="B8" s="52"/>
      <c r="C8" s="52"/>
      <c r="D8" s="52"/>
      <c r="E8" s="57"/>
      <c r="F8" s="57"/>
      <c r="G8" s="60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8" ht="15.75" customHeight="1">
      <c r="A9" s="50" t="s">
        <v>35</v>
      </c>
      <c r="B9" s="53" t="s">
        <v>36</v>
      </c>
      <c r="C9" s="53" t="s">
        <v>36</v>
      </c>
      <c r="D9" s="54" t="s">
        <v>37</v>
      </c>
      <c r="E9" s="53" t="s">
        <v>38</v>
      </c>
      <c r="F9" s="53" t="s">
        <v>39</v>
      </c>
      <c r="G9" s="53" t="s">
        <v>40</v>
      </c>
      <c r="H9" s="53" t="s">
        <v>36</v>
      </c>
      <c r="I9" s="53" t="s">
        <v>41</v>
      </c>
      <c r="J9" s="53" t="s">
        <v>42</v>
      </c>
      <c r="K9" s="53" t="s">
        <v>43</v>
      </c>
      <c r="L9" s="53">
        <v>97</v>
      </c>
      <c r="M9" s="61" t="s">
        <v>44</v>
      </c>
      <c r="N9" s="62" t="s">
        <v>45</v>
      </c>
      <c r="O9" s="64" t="s">
        <v>46</v>
      </c>
      <c r="P9" s="65" t="s">
        <v>47</v>
      </c>
      <c r="Q9" s="67" t="s">
        <v>48</v>
      </c>
    </row>
    <row r="10" spans="1:18" ht="15.75" customHeight="1">
      <c r="A10" s="51"/>
      <c r="B10" s="53"/>
      <c r="C10" s="53"/>
      <c r="D10" s="54"/>
      <c r="E10" s="53"/>
      <c r="F10" s="53"/>
      <c r="G10" s="53"/>
      <c r="H10" s="53"/>
      <c r="I10" s="53"/>
      <c r="J10" s="53"/>
      <c r="K10" s="53"/>
      <c r="L10" s="53"/>
      <c r="M10" s="61"/>
      <c r="N10" s="63"/>
      <c r="O10" s="65"/>
      <c r="P10" s="65"/>
      <c r="Q10" s="67"/>
    </row>
    <row r="11" spans="1:18" ht="14.65">
      <c r="A11" s="10" t="s">
        <v>49</v>
      </c>
      <c r="B11" s="11" t="s">
        <v>50</v>
      </c>
      <c r="C11" s="11" t="s">
        <v>50</v>
      </c>
      <c r="D11" s="12" t="s">
        <v>51</v>
      </c>
      <c r="E11" s="13">
        <v>81.64</v>
      </c>
      <c r="F11" s="13">
        <v>144.58000000000001</v>
      </c>
      <c r="G11" s="13">
        <v>43.67</v>
      </c>
      <c r="H11" s="11" t="s">
        <v>50</v>
      </c>
      <c r="I11" s="11" t="s">
        <v>50</v>
      </c>
      <c r="J11" s="11" t="s">
        <v>50</v>
      </c>
      <c r="K11" s="11" t="s">
        <v>50</v>
      </c>
      <c r="L11" s="11" t="s">
        <v>50</v>
      </c>
      <c r="M11" s="11" t="s">
        <v>50</v>
      </c>
      <c r="N11" s="11" t="s">
        <v>50</v>
      </c>
      <c r="O11" s="11" t="s">
        <v>50</v>
      </c>
      <c r="P11" s="11" t="s">
        <v>50</v>
      </c>
      <c r="Q11" s="38"/>
      <c r="R11" s="39"/>
    </row>
    <row r="12" spans="1:18" ht="14.65">
      <c r="A12" s="10" t="s">
        <v>52</v>
      </c>
      <c r="B12" s="11" t="s">
        <v>50</v>
      </c>
      <c r="C12" s="11" t="s">
        <v>50</v>
      </c>
      <c r="D12" s="12" t="s">
        <v>51</v>
      </c>
      <c r="E12" s="13">
        <v>83.07</v>
      </c>
      <c r="F12" s="13">
        <v>149.52000000000001</v>
      </c>
      <c r="G12" s="13">
        <v>44.56</v>
      </c>
      <c r="H12" s="11" t="s">
        <v>50</v>
      </c>
      <c r="I12" s="11" t="s">
        <v>50</v>
      </c>
      <c r="J12" s="11" t="s">
        <v>50</v>
      </c>
      <c r="K12" s="11" t="s">
        <v>50</v>
      </c>
      <c r="L12" s="11" t="s">
        <v>50</v>
      </c>
      <c r="M12" s="11" t="s">
        <v>50</v>
      </c>
      <c r="N12" s="11" t="s">
        <v>50</v>
      </c>
      <c r="O12" s="11" t="s">
        <v>50</v>
      </c>
      <c r="P12" s="11" t="s">
        <v>50</v>
      </c>
      <c r="Q12" s="38"/>
    </row>
    <row r="13" spans="1:18" ht="14.65">
      <c r="A13" s="10" t="s">
        <v>53</v>
      </c>
      <c r="B13" s="11" t="s">
        <v>50</v>
      </c>
      <c r="C13" s="11" t="s">
        <v>50</v>
      </c>
      <c r="D13" s="12" t="s">
        <v>51</v>
      </c>
      <c r="E13" s="13">
        <v>80.58</v>
      </c>
      <c r="F13" s="13">
        <v>152.49</v>
      </c>
      <c r="G13" s="13">
        <v>43.51</v>
      </c>
      <c r="H13" s="11" t="s">
        <v>50</v>
      </c>
      <c r="I13" s="11" t="s">
        <v>50</v>
      </c>
      <c r="J13" s="11" t="s">
        <v>50</v>
      </c>
      <c r="K13" s="11" t="s">
        <v>50</v>
      </c>
      <c r="L13" s="11" t="s">
        <v>50</v>
      </c>
      <c r="M13" s="11" t="s">
        <v>50</v>
      </c>
      <c r="N13" s="11" t="s">
        <v>50</v>
      </c>
      <c r="O13" s="11" t="s">
        <v>50</v>
      </c>
      <c r="P13" s="11" t="s">
        <v>50</v>
      </c>
      <c r="Q13" s="38"/>
    </row>
    <row r="14" spans="1:18" ht="14.65">
      <c r="A14" s="10" t="s">
        <v>54</v>
      </c>
      <c r="B14" s="11" t="s">
        <v>50</v>
      </c>
      <c r="C14" s="11" t="s">
        <v>50</v>
      </c>
      <c r="D14" s="12" t="s">
        <v>51</v>
      </c>
      <c r="E14" s="13">
        <v>81.25</v>
      </c>
      <c r="F14" s="13">
        <v>148.57</v>
      </c>
      <c r="G14" s="13">
        <v>42.18</v>
      </c>
      <c r="H14" s="11" t="s">
        <v>50</v>
      </c>
      <c r="I14" s="11" t="s">
        <v>50</v>
      </c>
      <c r="J14" s="11" t="s">
        <v>50</v>
      </c>
      <c r="K14" s="11" t="s">
        <v>50</v>
      </c>
      <c r="L14" s="11" t="s">
        <v>50</v>
      </c>
      <c r="M14" s="11" t="s">
        <v>50</v>
      </c>
      <c r="N14" s="11" t="s">
        <v>50</v>
      </c>
      <c r="O14" s="11" t="s">
        <v>50</v>
      </c>
      <c r="P14" s="11" t="s">
        <v>50</v>
      </c>
      <c r="Q14" s="38"/>
    </row>
    <row r="15" spans="1:18" ht="14.65">
      <c r="A15" s="10" t="s">
        <v>55</v>
      </c>
      <c r="B15" s="11" t="s">
        <v>50</v>
      </c>
      <c r="C15" s="11" t="s">
        <v>50</v>
      </c>
      <c r="D15" s="12" t="s">
        <v>51</v>
      </c>
      <c r="E15" s="13">
        <v>84.07</v>
      </c>
      <c r="F15" s="13">
        <v>144.56</v>
      </c>
      <c r="G15" s="13">
        <v>45.78</v>
      </c>
      <c r="H15" s="11" t="s">
        <v>50</v>
      </c>
      <c r="I15" s="11" t="s">
        <v>50</v>
      </c>
      <c r="J15" s="11" t="s">
        <v>50</v>
      </c>
      <c r="K15" s="11" t="s">
        <v>50</v>
      </c>
      <c r="L15" s="11" t="s">
        <v>50</v>
      </c>
      <c r="M15" s="11" t="s">
        <v>50</v>
      </c>
      <c r="N15" s="11" t="s">
        <v>50</v>
      </c>
      <c r="O15" s="11" t="s">
        <v>50</v>
      </c>
      <c r="P15" s="11" t="s">
        <v>50</v>
      </c>
      <c r="Q15" s="38"/>
    </row>
    <row r="16" spans="1:18" ht="14.65">
      <c r="A16" s="10">
        <v>6</v>
      </c>
      <c r="B16" s="14"/>
      <c r="C16" s="14"/>
      <c r="D16" s="15"/>
      <c r="E16" s="16"/>
      <c r="F16" s="16"/>
      <c r="G16" s="17"/>
      <c r="H16" s="18"/>
      <c r="I16" s="15"/>
      <c r="J16" s="15"/>
      <c r="K16" s="33"/>
      <c r="L16" s="33"/>
      <c r="M16" s="15"/>
      <c r="N16" s="34"/>
      <c r="O16" s="34"/>
      <c r="P16" s="34"/>
      <c r="Q16" s="38"/>
    </row>
    <row r="17" spans="1:17" ht="14.65">
      <c r="A17" s="10">
        <v>7</v>
      </c>
      <c r="B17" s="19"/>
      <c r="C17" s="20"/>
      <c r="D17" s="15"/>
      <c r="E17" s="16"/>
      <c r="F17" s="16"/>
      <c r="G17" s="21"/>
      <c r="H17" s="22"/>
      <c r="I17" s="15"/>
      <c r="J17" s="15"/>
      <c r="K17" s="33"/>
      <c r="L17" s="33"/>
      <c r="M17" s="15"/>
      <c r="N17" s="34"/>
      <c r="O17" s="34"/>
      <c r="P17" s="34"/>
      <c r="Q17" s="38"/>
    </row>
    <row r="18" spans="1:17" ht="14.65">
      <c r="A18" s="23">
        <v>8</v>
      </c>
      <c r="B18" s="19"/>
      <c r="C18" s="20"/>
      <c r="D18" s="15"/>
      <c r="E18" s="22"/>
      <c r="F18" s="22"/>
      <c r="G18" s="24"/>
      <c r="H18" s="22"/>
      <c r="I18" s="15"/>
      <c r="J18" s="15"/>
      <c r="K18" s="33"/>
      <c r="L18" s="33"/>
      <c r="M18" s="15"/>
      <c r="N18" s="34"/>
      <c r="O18" s="34"/>
      <c r="P18" s="34"/>
      <c r="Q18" s="38"/>
    </row>
    <row r="19" spans="1:17" ht="14.65">
      <c r="A19" s="23">
        <v>9</v>
      </c>
      <c r="B19" s="19"/>
      <c r="C19" s="20"/>
      <c r="D19" s="15"/>
      <c r="E19" s="22"/>
      <c r="F19" s="22"/>
      <c r="G19" s="24"/>
      <c r="H19" s="22"/>
      <c r="I19" s="35"/>
      <c r="J19" s="15"/>
      <c r="K19" s="33"/>
      <c r="L19" s="33"/>
      <c r="M19" s="15"/>
      <c r="N19" s="34"/>
      <c r="O19" s="34"/>
      <c r="P19" s="34"/>
      <c r="Q19" s="38"/>
    </row>
    <row r="20" spans="1:17" ht="14.65">
      <c r="A20" s="23">
        <v>10</v>
      </c>
      <c r="B20" s="19"/>
      <c r="C20" s="20"/>
      <c r="D20" s="15"/>
      <c r="E20" s="22"/>
      <c r="F20" s="22"/>
      <c r="G20" s="24"/>
      <c r="H20" s="22"/>
      <c r="I20" s="35"/>
      <c r="J20" s="15"/>
      <c r="K20" s="33"/>
      <c r="L20" s="33"/>
      <c r="M20" s="15"/>
      <c r="N20" s="34"/>
      <c r="O20" s="34"/>
      <c r="P20" s="34"/>
      <c r="Q20" s="38"/>
    </row>
    <row r="21" spans="1:17" ht="14.65">
      <c r="A21" s="23">
        <v>11</v>
      </c>
      <c r="B21" s="19"/>
      <c r="C21" s="20"/>
      <c r="D21" s="15"/>
      <c r="E21" s="22"/>
      <c r="F21" s="22"/>
      <c r="G21" s="24"/>
      <c r="H21" s="22"/>
      <c r="I21" s="35"/>
      <c r="J21" s="15"/>
      <c r="K21" s="33"/>
      <c r="L21" s="33"/>
      <c r="M21" s="15"/>
      <c r="N21" s="34"/>
      <c r="O21" s="34"/>
      <c r="P21" s="34"/>
      <c r="Q21" s="38"/>
    </row>
    <row r="22" spans="1:17" ht="14.65">
      <c r="A22" s="23">
        <v>12</v>
      </c>
      <c r="B22" s="19"/>
      <c r="C22" s="20"/>
      <c r="D22" s="15"/>
      <c r="E22" s="22"/>
      <c r="F22" s="22"/>
      <c r="G22" s="24"/>
      <c r="H22" s="22"/>
      <c r="I22" s="35"/>
      <c r="J22" s="15"/>
      <c r="K22" s="33"/>
      <c r="L22" s="33"/>
      <c r="M22" s="15"/>
      <c r="N22" s="34"/>
      <c r="O22" s="34"/>
      <c r="P22" s="34"/>
      <c r="Q22" s="38"/>
    </row>
    <row r="23" spans="1:17" ht="14.65">
      <c r="A23" s="23">
        <v>13</v>
      </c>
      <c r="B23" s="19"/>
      <c r="C23" s="20"/>
      <c r="D23" s="15"/>
      <c r="E23" s="22"/>
      <c r="F23" s="25"/>
      <c r="G23" s="22"/>
      <c r="H23" s="22"/>
      <c r="I23" s="35"/>
      <c r="J23" s="15"/>
      <c r="K23" s="33"/>
      <c r="L23" s="33"/>
      <c r="M23" s="15"/>
      <c r="N23" s="34"/>
      <c r="O23" s="34"/>
      <c r="P23" s="34"/>
      <c r="Q23" s="38"/>
    </row>
    <row r="24" spans="1:17" ht="14.65">
      <c r="A24" s="23">
        <v>14</v>
      </c>
      <c r="B24" s="19"/>
      <c r="C24" s="20"/>
      <c r="D24" s="15"/>
      <c r="E24" s="19"/>
      <c r="F24" s="19"/>
      <c r="G24" s="25"/>
      <c r="H24" s="19"/>
      <c r="I24" s="19"/>
      <c r="J24" s="19"/>
      <c r="K24" s="19"/>
      <c r="L24" s="19"/>
      <c r="M24" s="15"/>
      <c r="N24" s="19"/>
      <c r="O24" s="19"/>
      <c r="P24" s="34"/>
      <c r="Q24" s="38"/>
    </row>
    <row r="25" spans="1:17" ht="14.65">
      <c r="A25" s="23">
        <v>15</v>
      </c>
      <c r="B25" s="19"/>
      <c r="C25" s="20"/>
      <c r="D25" s="15"/>
      <c r="E25" s="19"/>
      <c r="F25" s="19"/>
      <c r="G25" s="25"/>
      <c r="H25" s="19"/>
      <c r="I25" s="19"/>
      <c r="J25" s="19"/>
      <c r="K25" s="19"/>
      <c r="L25" s="19"/>
      <c r="M25" s="15"/>
      <c r="N25" s="19"/>
      <c r="O25" s="19"/>
      <c r="P25" s="34"/>
      <c r="Q25" s="38"/>
    </row>
    <row r="26" spans="1:17" ht="14.65">
      <c r="A26" s="23">
        <v>16</v>
      </c>
      <c r="B26" s="19"/>
      <c r="C26" s="20"/>
      <c r="D26" s="15"/>
      <c r="E26" s="19"/>
      <c r="F26" s="19"/>
      <c r="G26" s="25"/>
      <c r="H26" s="19"/>
      <c r="I26" s="19"/>
      <c r="J26" s="19"/>
      <c r="K26" s="19"/>
      <c r="L26" s="19"/>
      <c r="M26" s="15"/>
      <c r="N26" s="19"/>
      <c r="O26" s="19"/>
      <c r="P26" s="34"/>
      <c r="Q26" s="38"/>
    </row>
    <row r="27" spans="1:17" ht="14.65">
      <c r="A27" s="23">
        <v>17</v>
      </c>
      <c r="B27" s="19"/>
      <c r="C27" s="20"/>
      <c r="D27" s="15"/>
      <c r="E27" s="19"/>
      <c r="F27" s="19"/>
      <c r="G27" s="25"/>
      <c r="H27" s="19"/>
      <c r="I27" s="19"/>
      <c r="J27" s="19"/>
      <c r="K27" s="19"/>
      <c r="L27" s="19"/>
      <c r="M27" s="15"/>
      <c r="N27" s="19"/>
      <c r="O27" s="19"/>
      <c r="P27" s="34"/>
      <c r="Q27" s="38"/>
    </row>
    <row r="28" spans="1:17" ht="14.65">
      <c r="A28" s="23">
        <v>18</v>
      </c>
      <c r="B28" s="19"/>
      <c r="C28" s="20"/>
      <c r="D28" s="15"/>
      <c r="E28" s="19"/>
      <c r="F28" s="19"/>
      <c r="G28" s="25"/>
      <c r="H28" s="19"/>
      <c r="I28" s="19"/>
      <c r="J28" s="19"/>
      <c r="K28" s="19"/>
      <c r="L28" s="19"/>
      <c r="M28" s="15"/>
      <c r="N28" s="19"/>
      <c r="O28" s="19"/>
      <c r="P28" s="34"/>
      <c r="Q28" s="38"/>
    </row>
    <row r="29" spans="1:17" ht="14.65">
      <c r="A29" s="23">
        <v>19</v>
      </c>
      <c r="B29" s="19"/>
      <c r="C29" s="20"/>
      <c r="D29" s="15"/>
      <c r="E29" s="19"/>
      <c r="F29" s="19"/>
      <c r="G29" s="25"/>
      <c r="H29" s="19"/>
      <c r="I29" s="19"/>
      <c r="J29" s="19"/>
      <c r="K29" s="19"/>
      <c r="L29" s="19"/>
      <c r="M29" s="15"/>
      <c r="N29" s="19"/>
      <c r="O29" s="19"/>
      <c r="P29" s="34"/>
      <c r="Q29" s="38"/>
    </row>
    <row r="30" spans="1:17" ht="14.65">
      <c r="A30" s="23">
        <v>20</v>
      </c>
      <c r="B30" s="19"/>
      <c r="C30" s="20"/>
      <c r="D30" s="15"/>
      <c r="E30" s="19"/>
      <c r="F30" s="19"/>
      <c r="G30" s="25"/>
      <c r="H30" s="19"/>
      <c r="I30" s="19"/>
      <c r="J30" s="19"/>
      <c r="K30" s="19"/>
      <c r="L30" s="19"/>
      <c r="M30" s="15"/>
      <c r="N30" s="19"/>
      <c r="O30" s="19"/>
      <c r="P30" s="34"/>
      <c r="Q30" s="38"/>
    </row>
    <row r="31" spans="1:17">
      <c r="A31" s="26" t="s">
        <v>56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 t="str">
        <f t="shared" ref="N31:Q31" si="0">IF(N11=" "," ",IF(MIN(N11:N30)=0," ",MIN(N11:N30)))</f>
        <v/>
      </c>
      <c r="O31" s="27" t="str">
        <f t="shared" si="0"/>
        <v/>
      </c>
      <c r="P31" s="27" t="str">
        <f t="shared" si="0"/>
        <v/>
      </c>
      <c r="Q31" s="40" t="str">
        <f t="shared" si="0"/>
        <v/>
      </c>
    </row>
    <row r="32" spans="1:17">
      <c r="A32" s="26" t="s">
        <v>57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 t="str">
        <f t="shared" ref="N32:Q32" si="1">IF(N11=" "," ",IF(N31=" "," ",AVERAGE(N11:N30)))</f>
        <v/>
      </c>
      <c r="O32" s="27" t="str">
        <f t="shared" si="1"/>
        <v/>
      </c>
      <c r="P32" s="27" t="str">
        <f t="shared" si="1"/>
        <v/>
      </c>
      <c r="Q32" s="40" t="str">
        <f t="shared" si="1"/>
        <v/>
      </c>
    </row>
    <row r="33" spans="1:17">
      <c r="A33" s="26" t="s">
        <v>58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 t="str">
        <f t="shared" ref="N33:Q33" si="2">IF(N11=" "," ",IF(N31=" "," ",MAX(N11:N30)))</f>
        <v/>
      </c>
      <c r="O33" s="27" t="str">
        <f t="shared" si="2"/>
        <v/>
      </c>
      <c r="P33" s="27" t="str">
        <f t="shared" si="2"/>
        <v/>
      </c>
      <c r="Q33" s="40" t="str">
        <f t="shared" si="2"/>
        <v/>
      </c>
    </row>
    <row r="34" spans="1:17">
      <c r="A34" s="26" t="s">
        <v>59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 t="str">
        <f t="shared" ref="N34:Q34" si="3">IF(N11=" "," ",IF(N31=" "," ",STDEV(N11:N30)))</f>
        <v/>
      </c>
      <c r="O34" s="27" t="str">
        <f t="shared" si="3"/>
        <v/>
      </c>
      <c r="P34" s="27" t="str">
        <f t="shared" si="3"/>
        <v/>
      </c>
      <c r="Q34" s="40" t="str">
        <f t="shared" si="3"/>
        <v/>
      </c>
    </row>
    <row r="35" spans="1:17" ht="15.4">
      <c r="A35" s="28" t="s">
        <v>33</v>
      </c>
      <c r="B35" s="29"/>
      <c r="C35" s="29"/>
      <c r="D35" s="29"/>
      <c r="E35" s="29"/>
      <c r="F35" s="29"/>
      <c r="G35" s="30"/>
      <c r="H35" s="29"/>
      <c r="I35" s="29"/>
      <c r="J35" s="29"/>
      <c r="K35" s="29"/>
      <c r="L35" s="29"/>
      <c r="M35" s="29"/>
      <c r="N35" s="36"/>
      <c r="O35" s="36"/>
      <c r="P35" s="36"/>
      <c r="Q35" s="41"/>
    </row>
    <row r="36" spans="1:17" ht="15.4">
      <c r="A36" s="31" t="s">
        <v>60</v>
      </c>
      <c r="B36" s="31"/>
      <c r="C36" s="31"/>
      <c r="D36" s="31"/>
      <c r="E36" s="31"/>
      <c r="F36" s="31"/>
      <c r="G36" s="32"/>
      <c r="H36" s="31"/>
      <c r="I36" s="31"/>
      <c r="J36" s="31"/>
      <c r="K36" s="31"/>
      <c r="L36" s="31"/>
      <c r="M36" s="31"/>
      <c r="N36" s="37"/>
      <c r="O36" s="37"/>
      <c r="P36"/>
    </row>
  </sheetData>
  <mergeCells count="50">
    <mergeCell ref="P6:P8"/>
    <mergeCell ref="P9:P10"/>
    <mergeCell ref="Q6:Q8"/>
    <mergeCell ref="Q9:Q10"/>
    <mergeCell ref="A1:C3"/>
    <mergeCell ref="C4:D5"/>
    <mergeCell ref="I4:J5"/>
    <mergeCell ref="M4:P5"/>
    <mergeCell ref="D1:L3"/>
    <mergeCell ref="F4:G5"/>
    <mergeCell ref="M6:M8"/>
    <mergeCell ref="M9:M10"/>
    <mergeCell ref="N6:N8"/>
    <mergeCell ref="N9:N10"/>
    <mergeCell ref="O6:O8"/>
    <mergeCell ref="O9:O10"/>
    <mergeCell ref="J9:J10"/>
    <mergeCell ref="K6:K8"/>
    <mergeCell ref="K9:K10"/>
    <mergeCell ref="L6:L8"/>
    <mergeCell ref="L9:L10"/>
    <mergeCell ref="G9:G10"/>
    <mergeCell ref="H6:H8"/>
    <mergeCell ref="H9:H10"/>
    <mergeCell ref="I6:I8"/>
    <mergeCell ref="I9:I10"/>
    <mergeCell ref="D9:D10"/>
    <mergeCell ref="E6:E8"/>
    <mergeCell ref="E9:E10"/>
    <mergeCell ref="F6:F8"/>
    <mergeCell ref="F9:F10"/>
    <mergeCell ref="A9:A10"/>
    <mergeCell ref="B6:B8"/>
    <mergeCell ref="B9:B10"/>
    <mergeCell ref="C7:C8"/>
    <mergeCell ref="C9:C10"/>
    <mergeCell ref="A4:B4"/>
    <mergeCell ref="K4:L4"/>
    <mergeCell ref="A5:B5"/>
    <mergeCell ref="K5:L5"/>
    <mergeCell ref="A7:A8"/>
    <mergeCell ref="D6:D8"/>
    <mergeCell ref="G6:G8"/>
    <mergeCell ref="J6:J8"/>
    <mergeCell ref="M1:N1"/>
    <mergeCell ref="O1:P1"/>
    <mergeCell ref="M2:N2"/>
    <mergeCell ref="O2:P2"/>
    <mergeCell ref="M3:N3"/>
    <mergeCell ref="O3:P3"/>
  </mergeCells>
  <conditionalFormatting sqref="E19">
    <cfRule type="cellIs" dxfId="4" priority="35" stopIfTrue="1" operator="lessThan">
      <formula>18.5</formula>
    </cfRule>
  </conditionalFormatting>
  <conditionalFormatting sqref="F16:F17">
    <cfRule type="cellIs" dxfId="3" priority="38" stopIfTrue="1" operator="lessThan">
      <formula>160</formula>
    </cfRule>
    <cfRule type="cellIs" dxfId="2" priority="119" stopIfTrue="1" operator="lessThan">
      <formula>160</formula>
    </cfRule>
  </conditionalFormatting>
  <conditionalFormatting sqref="F16:F18">
    <cfRule type="cellIs" dxfId="1" priority="39" stopIfTrue="1" operator="lessThan">
      <formula>154</formula>
    </cfRule>
    <cfRule type="cellIs" dxfId="0" priority="230" stopIfTrue="1" operator="lessThan">
      <formula>154</formula>
    </cfRule>
  </conditionalFormatting>
  <printOptions horizontalCentered="1" verticalCentered="1"/>
  <pageMargins left="0" right="0" top="0" bottom="0" header="0" footer="0"/>
  <pageSetup paperSize="9"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Anh</cp:lastModifiedBy>
  <cp:lastPrinted>2022-12-21T08:15:00Z</cp:lastPrinted>
  <dcterms:created xsi:type="dcterms:W3CDTF">2006-09-16T00:00:00Z</dcterms:created>
  <dcterms:modified xsi:type="dcterms:W3CDTF">2025-04-10T06:17:03Z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2057-12.2.0.18165</vt:lpwstr>
  </property>
  <property fmtid="{D5CDD505-2E9C-101B-9397-08002B2CF9AE}" pid="3" name="ICV">
    <vt:lpwstr>F3A32FB8D91B47DE98D0526931D22D3E_13</vt:lpwstr>
  </property>
</Properties>
</file>