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72" windowHeight="10965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<sst xmlns="http://schemas.openxmlformats.org/spreadsheetml/2006/main" count="123" uniqueCount="61">
  <si>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</si>
  <si>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</si>
  <si>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</si>
  <si>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</si>
  <si>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</si>
  <si>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</si>
  <si>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08-01-2022</t>
  </si>
  <si>
    <t>Mã sp</t>
  </si>
  <si>
    <t>VS100</t>
  </si>
  <si>
    <t xml:space="preserve">Số báo cáo </t>
  </si>
  <si>
    <t xml:space="preserve">NV kiểm tra </t>
  </si>
  <si>
    <t>Hà/Trung</t>
  </si>
  <si>
    <t xml:space="preserve">Ngày tháng </t>
  </si>
  <si>
    <t>2024.09.05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</si>
  <si>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</si>
  <si>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</si>
  <si>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</si>
  <si>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</si>
  <si>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</si>
  <si>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</si>
  <si>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</si>
  <si>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</si>
  <si>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</si>
  <si>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</si>
  <si>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Air flow  (CFM)</t>
  </si>
  <si>
    <t>Noise (dBA)</t>
  </si>
  <si>
    <t xml:space="preserve"> Strain relief test  (P/F)</t>
  </si>
  <si>
    <t>Screw Torque test (P/F)</t>
  </si>
  <si>
    <t>Handle strength test (P/F)</t>
  </si>
  <si>
    <t>Drop test   (P/F)</t>
  </si>
  <si>
    <t>Bleed valve test (P/F)</t>
  </si>
  <si>
    <t xml:space="preserve">Main unit air tightness test </t>
  </si>
  <si>
    <t>Flexible hose air tightness</t>
  </si>
  <si>
    <t>Dust cup air tightness test</t>
  </si>
  <si>
    <t>Remark:</t>
  </si>
  <si>
    <t xml:space="preserve">Open  </t>
  </si>
  <si>
    <t xml:space="preserve">Barcode
số tem </t>
  </si>
  <si>
    <t>NA</t>
  </si>
  <si>
    <t>1500V 1mA</t>
  </si>
  <si>
    <t>TBD</t>
  </si>
  <si>
    <t>≥130</t>
  </si>
  <si>
    <t>35LBs</t>
  </si>
  <si>
    <t>3kg</t>
  </si>
  <si>
    <t>23.4kg</t>
  </si>
  <si>
    <t>4-10mm</t>
  </si>
  <si>
    <t>≥9</t>
  </si>
  <si>
    <t>≥18.5</t>
  </si>
  <si>
    <r>
      <rPr>
        <b/>
        <sz val="9"/>
        <rFont val="宋体"/>
        <charset val="134"/>
      </rPr>
      <t>≥</t>
    </r>
    <r>
      <rPr>
        <b/>
        <sz val="9"/>
        <rFont val="Calibri"/>
        <charset val="134"/>
      </rPr>
      <t>18.5</t>
    </r>
  </si>
  <si>
    <t xml:space="preserve"> </t>
  </si>
  <si>
    <t>U05UX505A0S8</t>
  </si>
  <si>
    <t>\</t>
  </si>
  <si>
    <t>P</t>
  </si>
  <si>
    <t>U05UX505A1F7</t>
  </si>
  <si>
    <t>U05UX505Z8U8</t>
  </si>
  <si>
    <t>U05UX505A0Z4</t>
  </si>
  <si>
    <t>U05UX505Z9R0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</si>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</sst>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_);[Red]\(0\)"/>
    <numFmt numFmtId="180" formatCode="dd\-mmm\-yy"/>
    <numFmt numFmtId="181" formatCode="0.0"/>
  </numFmts>
  <fonts count="57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b/>
      <sz val="9"/>
      <name val="新細明體"/>
      <charset val="136"/>
    </font>
    <font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宋体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b/>
      <sz val="9"/>
      <name val="宋体"/>
      <charset val="134"/>
    </font>
    <font>
      <b/>
      <sz val="9"/>
      <name val="Calibri"/>
      <charset val="134"/>
    </font>
    <font>
      <sz val="11"/>
      <name val="新細明體"/>
      <charset val="136"/>
    </font>
    <font>
      <sz val="9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15" applyNumberFormat="0" applyAlignment="0" applyProtection="0">
      <alignment vertical="center"/>
    </xf>
    <xf numFmtId="0" fontId="29" fillId="7" borderId="16" applyNumberFormat="0" applyAlignment="0" applyProtection="0">
      <alignment vertical="center"/>
    </xf>
    <xf numFmtId="0" fontId="30" fillId="7" borderId="15" applyNumberFormat="0" applyAlignment="0" applyProtection="0">
      <alignment vertical="center"/>
    </xf>
    <xf numFmtId="0" fontId="31" fillId="8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1" fillId="0" borderId="0"/>
    <xf numFmtId="0" fontId="1" fillId="0" borderId="0"/>
    <xf numFmtId="0" fontId="7" fillId="0" borderId="0"/>
    <xf numFmtId="0" fontId="3" fillId="0" borderId="0"/>
    <xf numFmtId="0" fontId="7" fillId="0" borderId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1" fillId="0" borderId="0"/>
    <xf numFmtId="0" fontId="0" fillId="0" borderId="0"/>
    <xf numFmtId="0" fontId="0" fillId="0" borderId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4" borderId="23" applyNumberFormat="0" applyAlignment="0" applyProtection="0"/>
    <xf numFmtId="0" fontId="48" fillId="54" borderId="23" applyNumberFormat="0" applyAlignment="0" applyProtection="0"/>
    <xf numFmtId="0" fontId="48" fillId="54" borderId="23" applyNumberFormat="0" applyAlignment="0" applyProtection="0"/>
    <xf numFmtId="0" fontId="48" fillId="54" borderId="23" applyNumberFormat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1" fillId="55" borderId="25" applyNumberFormat="0" applyFon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2" borderId="26" applyNumberFormat="0" applyAlignment="0" applyProtection="0"/>
    <xf numFmtId="0" fontId="52" fillId="2" borderId="26" applyNumberFormat="0" applyAlignment="0" applyProtection="0"/>
    <xf numFmtId="0" fontId="52" fillId="2" borderId="26" applyNumberFormat="0" applyAlignment="0" applyProtection="0"/>
    <xf numFmtId="0" fontId="52" fillId="2" borderId="26" applyNumberFormat="0" applyAlignment="0" applyProtection="0"/>
    <xf numFmtId="0" fontId="53" fillId="41" borderId="26" applyNumberFormat="0" applyAlignment="0" applyProtection="0"/>
    <xf numFmtId="0" fontId="53" fillId="41" borderId="26" applyNumberFormat="0" applyAlignment="0" applyProtection="0"/>
    <xf numFmtId="0" fontId="53" fillId="41" borderId="26" applyNumberFormat="0" applyAlignment="0" applyProtection="0"/>
    <xf numFmtId="0" fontId="53" fillId="41" borderId="26" applyNumberFormat="0" applyAlignment="0" applyProtection="0"/>
    <xf numFmtId="0" fontId="54" fillId="2" borderId="27" applyNumberFormat="0" applyAlignment="0" applyProtection="0"/>
    <xf numFmtId="0" fontId="54" fillId="2" borderId="27" applyNumberFormat="0" applyAlignment="0" applyProtection="0"/>
    <xf numFmtId="0" fontId="54" fillId="2" borderId="27" applyNumberFormat="0" applyAlignment="0" applyProtection="0"/>
    <xf numFmtId="0" fontId="54" fillId="2" borderId="27" applyNumberFormat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55" fillId="3" borderId="0" applyNumberFormat="0" applyBorder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  <xf numFmtId="0" fontId="56" fillId="0" borderId="28" applyNumberFormat="0" applyFill="0" applyAlignment="0" applyProtection="0"/>
  </cellStyleXfs>
  <cellXfs count="83">
    <xf numFmtId="0" fontId="0" fillId="0" borderId="0" xfId="0"/>
    <xf numFmtId="0" fontId="1" fillId="0" borderId="0" xfId="134"/>
    <xf numFmtId="0" fontId="0" fillId="0" borderId="0" xfId="135"/>
    <xf numFmtId="178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>
      <alignment horizontal="left" vertical="center"/>
    </xf>
    <xf numFmtId="0" fontId="4" fillId="0" borderId="1" xfId="125" applyFont="1" applyBorder="1" applyAlignment="1">
      <alignment horizontal="center" vertical="center"/>
    </xf>
    <xf numFmtId="0" fontId="4" fillId="0" borderId="1" xfId="125" applyFont="1" applyBorder="1" applyAlignment="1">
      <alignment vertical="center"/>
    </xf>
    <xf numFmtId="0" fontId="5" fillId="0" borderId="2" xfId="125" applyFont="1" applyBorder="1" applyAlignment="1">
      <alignment horizontal="center" vertical="center"/>
    </xf>
    <xf numFmtId="0" fontId="5" fillId="0" borderId="3" xfId="125" applyFont="1" applyBorder="1" applyAlignment="1">
      <alignment horizontal="center" vertical="center"/>
    </xf>
    <xf numFmtId="0" fontId="6" fillId="0" borderId="1" xfId="135" applyFont="1" applyBorder="1"/>
    <xf numFmtId="0" fontId="7" fillId="0" borderId="1" xfId="125" applyBorder="1"/>
    <xf numFmtId="0" fontId="5" fillId="0" borderId="4" xfId="125" applyFont="1" applyBorder="1" applyAlignment="1">
      <alignment horizontal="center" vertical="center"/>
    </xf>
    <xf numFmtId="0" fontId="5" fillId="0" borderId="5" xfId="125" applyFont="1" applyBorder="1" applyAlignment="1">
      <alignment horizontal="center" vertical="center"/>
    </xf>
    <xf numFmtId="0" fontId="0" fillId="0" borderId="1" xfId="135" applyBorder="1"/>
    <xf numFmtId="0" fontId="8" fillId="0" borderId="1" xfId="125" applyFont="1" applyBorder="1" applyAlignment="1">
      <alignment horizontal="center" vertical="center" wrapText="1"/>
    </xf>
    <xf numFmtId="0" fontId="8" fillId="0" borderId="1" xfId="125" applyFont="1" applyBorder="1" applyAlignment="1" applyProtection="1">
      <alignment horizontal="center" vertical="center" wrapText="1"/>
      <protection locked="0"/>
    </xf>
    <xf numFmtId="0" fontId="8" fillId="0" borderId="1" xfId="125" applyFont="1" applyBorder="1" applyAlignment="1" applyProtection="1">
      <alignment vertical="center" wrapText="1"/>
      <protection locked="0"/>
    </xf>
    <xf numFmtId="0" fontId="8" fillId="0" borderId="6" xfId="125" applyFont="1" applyBorder="1" applyAlignment="1" applyProtection="1">
      <alignment horizontal="center" vertical="center" wrapText="1"/>
      <protection locked="0"/>
    </xf>
    <xf numFmtId="178" fontId="8" fillId="0" borderId="6" xfId="125" applyNumberFormat="1" applyFont="1" applyBorder="1" applyAlignment="1" applyProtection="1">
      <alignment horizontal="center" vertical="center" wrapText="1"/>
      <protection locked="0"/>
    </xf>
    <xf numFmtId="0" fontId="8" fillId="0" borderId="7" xfId="125" applyFont="1" applyBorder="1" applyAlignment="1" applyProtection="1">
      <alignment horizontal="center" vertical="center" wrapText="1"/>
      <protection locked="0"/>
    </xf>
    <xf numFmtId="178" fontId="8" fillId="0" borderId="7" xfId="125" applyNumberFormat="1" applyFont="1" applyBorder="1" applyAlignment="1" applyProtection="1">
      <alignment horizontal="center" vertical="center" wrapText="1"/>
      <protection locked="0"/>
    </xf>
    <xf numFmtId="0" fontId="8" fillId="0" borderId="8" xfId="125" applyFont="1" applyBorder="1" applyAlignment="1" applyProtection="1">
      <alignment horizontal="center" vertical="center" wrapText="1"/>
      <protection locked="0"/>
    </xf>
    <xf numFmtId="178" fontId="8" fillId="0" borderId="8" xfId="125" applyNumberFormat="1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 wrapText="1"/>
    </xf>
    <xf numFmtId="0" fontId="9" fillId="2" borderId="1" xfId="125" applyFont="1" applyFill="1" applyBorder="1" applyAlignment="1" applyProtection="1">
      <alignment horizontal="center" vertical="center"/>
      <protection locked="0"/>
    </xf>
    <xf numFmtId="0" fontId="9" fillId="2" borderId="1" xfId="125" applyFont="1" applyFill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/>
    </xf>
    <xf numFmtId="0" fontId="8" fillId="0" borderId="1" xfId="125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125" applyFont="1" applyBorder="1" applyAlignment="1" applyProtection="1">
      <alignment horizontal="center" vertical="center"/>
      <protection locked="0"/>
    </xf>
    <xf numFmtId="0" fontId="12" fillId="0" borderId="1" xfId="125" applyFont="1" applyBorder="1" applyAlignment="1">
      <alignment horizontal="center"/>
    </xf>
    <xf numFmtId="2" fontId="13" fillId="0" borderId="1" xfId="125" applyNumberFormat="1" applyFont="1" applyBorder="1" applyAlignment="1" applyProtection="1">
      <alignment horizontal="center" vertical="center"/>
      <protection locked="0"/>
    </xf>
    <xf numFmtId="0" fontId="14" fillId="0" borderId="1" xfId="125" applyFont="1" applyBorder="1" applyProtection="1">
      <protection locked="0"/>
    </xf>
    <xf numFmtId="178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13" fillId="0" borderId="1" xfId="125" applyNumberFormat="1" applyFont="1" applyBorder="1" applyProtection="1">
      <protection locked="0"/>
    </xf>
    <xf numFmtId="179" fontId="13" fillId="0" borderId="1" xfId="125" applyNumberFormat="1" applyFont="1" applyBorder="1" applyProtection="1">
      <protection locked="0"/>
    </xf>
    <xf numFmtId="178" fontId="13" fillId="0" borderId="1" xfId="124" applyNumberFormat="1" applyFont="1" applyBorder="1" applyAlignment="1" applyProtection="1">
      <alignment horizontal="center" vertical="center"/>
      <protection locked="0"/>
    </xf>
    <xf numFmtId="178" fontId="13" fillId="0" borderId="1" xfId="0" applyNumberFormat="1" applyFont="1" applyBorder="1" applyAlignment="1">
      <alignment vertical="center"/>
    </xf>
    <xf numFmtId="0" fontId="15" fillId="0" borderId="1" xfId="125" applyFont="1" applyBorder="1" applyAlignment="1">
      <alignment horizontal="center"/>
    </xf>
    <xf numFmtId="178" fontId="13" fillId="0" borderId="1" xfId="124" applyNumberFormat="1" applyFont="1" applyBorder="1" applyAlignment="1" applyProtection="1">
      <alignment vertical="center"/>
      <protection locked="0"/>
    </xf>
    <xf numFmtId="178" fontId="13" fillId="0" borderId="1" xfId="125" applyNumberFormat="1" applyFont="1" applyBorder="1" applyAlignment="1" applyProtection="1">
      <alignment vertical="center"/>
      <protection locked="0"/>
    </xf>
    <xf numFmtId="0" fontId="15" fillId="3" borderId="1" xfId="125" applyFont="1" applyFill="1" applyBorder="1" applyAlignment="1">
      <alignment horizontal="center"/>
    </xf>
    <xf numFmtId="2" fontId="15" fillId="4" borderId="1" xfId="125" applyNumberFormat="1" applyFont="1" applyFill="1" applyBorder="1" applyAlignment="1">
      <alignment vertical="center"/>
    </xf>
    <xf numFmtId="0" fontId="15" fillId="0" borderId="1" xfId="125" applyFont="1" applyBorder="1"/>
    <xf numFmtId="0" fontId="15" fillId="0" borderId="1" xfId="125" applyFont="1" applyBorder="1" applyProtection="1">
      <protection locked="0"/>
    </xf>
    <xf numFmtId="178" fontId="15" fillId="0" borderId="1" xfId="125" applyNumberFormat="1" applyFont="1" applyBorder="1" applyProtection="1">
      <protection locked="0"/>
    </xf>
    <xf numFmtId="0" fontId="15" fillId="0" borderId="0" xfId="125" applyFont="1"/>
    <xf numFmtId="178" fontId="15" fillId="0" borderId="0" xfId="125" applyNumberFormat="1" applyFont="1"/>
    <xf numFmtId="0" fontId="5" fillId="0" borderId="1" xfId="134" applyFont="1" applyBorder="1" applyAlignment="1">
      <alignment horizontal="left" vertical="center"/>
    </xf>
    <xf numFmtId="0" fontId="5" fillId="0" borderId="1" xfId="125" applyFont="1" applyBorder="1" applyAlignment="1">
      <alignment horizontal="left" vertical="center"/>
    </xf>
    <xf numFmtId="58" fontId="5" fillId="0" borderId="1" xfId="125" applyNumberFormat="1" applyFont="1" applyBorder="1" applyAlignment="1">
      <alignment horizontal="left" vertical="center"/>
    </xf>
    <xf numFmtId="0" fontId="5" fillId="0" borderId="9" xfId="125" applyFont="1" applyBorder="1" applyAlignment="1" applyProtection="1">
      <alignment horizontal="center" vertical="center"/>
      <protection locked="0"/>
    </xf>
    <xf numFmtId="0" fontId="5" fillId="0" borderId="3" xfId="125" applyFont="1" applyBorder="1" applyAlignment="1" applyProtection="1">
      <alignment horizontal="center" vertical="center"/>
      <protection locked="0"/>
    </xf>
    <xf numFmtId="0" fontId="4" fillId="0" borderId="1" xfId="125" applyFont="1" applyBorder="1" applyAlignment="1">
      <alignment horizontal="right" vertical="center"/>
    </xf>
    <xf numFmtId="180" fontId="5" fillId="0" borderId="2" xfId="125" applyNumberFormat="1" applyFont="1" applyBorder="1" applyAlignment="1" applyProtection="1">
      <alignment horizontal="center" vertical="center"/>
      <protection locked="0"/>
    </xf>
    <xf numFmtId="180" fontId="5" fillId="0" borderId="9" xfId="125" applyNumberFormat="1" applyFont="1" applyBorder="1" applyAlignment="1" applyProtection="1">
      <alignment horizontal="center" vertical="center"/>
      <protection locked="0"/>
    </xf>
    <xf numFmtId="180" fontId="5" fillId="0" borderId="3" xfId="125" applyNumberFormat="1" applyFont="1" applyBorder="1" applyAlignment="1" applyProtection="1">
      <alignment horizontal="center" vertical="center"/>
      <protection locked="0"/>
    </xf>
    <xf numFmtId="0" fontId="5" fillId="0" borderId="10" xfId="125" applyFont="1" applyBorder="1" applyAlignment="1" applyProtection="1">
      <alignment horizontal="center" vertical="center"/>
      <protection locked="0"/>
    </xf>
    <xf numFmtId="0" fontId="5" fillId="0" borderId="5" xfId="125" applyFont="1" applyBorder="1" applyAlignment="1" applyProtection="1">
      <alignment horizontal="center" vertical="center"/>
      <protection locked="0"/>
    </xf>
    <xf numFmtId="0" fontId="7" fillId="0" borderId="1" xfId="125" applyBorder="1" applyAlignment="1">
      <alignment horizontal="center"/>
    </xf>
    <xf numFmtId="180" fontId="5" fillId="0" borderId="4" xfId="125" applyNumberFormat="1" applyFont="1" applyBorder="1" applyAlignment="1" applyProtection="1">
      <alignment horizontal="center" vertical="center"/>
      <protection locked="0"/>
    </xf>
    <xf numFmtId="180" fontId="5" fillId="0" borderId="10" xfId="125" applyNumberFormat="1" applyFont="1" applyBorder="1" applyAlignment="1" applyProtection="1">
      <alignment horizontal="center" vertical="center"/>
      <protection locked="0"/>
    </xf>
    <xf numFmtId="180" fontId="5" fillId="0" borderId="5" xfId="125" applyNumberFormat="1" applyFont="1" applyBorder="1" applyAlignment="1" applyProtection="1">
      <alignment horizontal="center" vertical="center"/>
      <protection locked="0"/>
    </xf>
    <xf numFmtId="49" fontId="9" fillId="2" borderId="1" xfId="125" applyNumberFormat="1" applyFont="1" applyFill="1" applyBorder="1" applyAlignment="1" applyProtection="1">
      <alignment horizontal="center" vertical="center"/>
      <protection locked="0"/>
    </xf>
    <xf numFmtId="0" fontId="16" fillId="2" borderId="1" xfId="125" applyFont="1" applyFill="1" applyBorder="1" applyAlignment="1" applyProtection="1">
      <alignment horizontal="center" vertical="center" wrapText="1"/>
      <protection locked="0"/>
    </xf>
    <xf numFmtId="0" fontId="16" fillId="2" borderId="1" xfId="125" applyFont="1" applyFill="1" applyBorder="1" applyAlignment="1" applyProtection="1">
      <alignment horizontal="center" vertical="center"/>
      <protection locked="0"/>
    </xf>
    <xf numFmtId="0" fontId="17" fillId="2" borderId="1" xfId="125" applyFont="1" applyFill="1" applyBorder="1" applyAlignment="1" applyProtection="1">
      <alignment horizontal="center" vertical="center"/>
      <protection locked="0"/>
    </xf>
    <xf numFmtId="0" fontId="17" fillId="2" borderId="1" xfId="125" applyFont="1" applyFill="1" applyBorder="1" applyAlignment="1" applyProtection="1">
      <alignment horizontal="center" vertical="center" wrapText="1"/>
      <protection locked="0"/>
    </xf>
    <xf numFmtId="0" fontId="13" fillId="0" borderId="1" xfId="125" applyFont="1" applyBorder="1" applyProtection="1">
      <protection locked="0"/>
    </xf>
    <xf numFmtId="181" fontId="13" fillId="0" borderId="1" xfId="125" applyNumberFormat="1" applyFont="1" applyBorder="1" applyProtection="1">
      <protection locked="0"/>
    </xf>
    <xf numFmtId="178" fontId="13" fillId="0" borderId="1" xfId="125" applyNumberFormat="1" applyFont="1" applyBorder="1" applyProtection="1">
      <protection locked="0"/>
    </xf>
    <xf numFmtId="0" fontId="18" fillId="0" borderId="1" xfId="125" applyFont="1" applyBorder="1" applyProtection="1">
      <protection locked="0"/>
    </xf>
    <xf numFmtId="0" fontId="7" fillId="0" borderId="0" xfId="125"/>
    <xf numFmtId="0" fontId="8" fillId="0" borderId="11" xfId="125" applyFont="1" applyBorder="1" applyAlignment="1" applyProtection="1">
      <alignment horizontal="center" vertical="center" wrapText="1"/>
      <protection locked="0"/>
    </xf>
    <xf numFmtId="0" fontId="7" fillId="0" borderId="1" xfId="125" applyBorder="1" applyAlignment="1" applyProtection="1">
      <alignment horizontal="center" vertical="center"/>
      <protection locked="0"/>
    </xf>
    <xf numFmtId="2" fontId="7" fillId="0" borderId="1" xfId="125" applyNumberFormat="1" applyBorder="1" applyAlignment="1" applyProtection="1">
      <alignment horizontal="center" vertical="center"/>
      <protection locked="0"/>
    </xf>
    <xf numFmtId="58" fontId="0" fillId="0" borderId="0" xfId="135" applyNumberFormat="1"/>
    <xf numFmtId="2" fontId="19" fillId="4" borderId="1" xfId="125" applyNumberFormat="1" applyFont="1" applyFill="1" applyBorder="1" applyAlignment="1">
      <alignment horizontal="center" vertical="center"/>
    </xf>
    <xf numFmtId="0" fontId="7" fillId="0" borderId="1" xfId="125" applyBorder="1" applyProtection="1">
      <protection locked="0"/>
    </xf>
    <xf numFmtId="58" fontId="5" fillId="0" borderId="1" xfId="125" applyNumberFormat="1" applyFont="1" applyBorder="1" applyAlignment="1" quotePrefix="1">
      <alignment horizontal="left" vertical="center"/>
    </xf>
  </cellXfs>
  <cellStyles count="21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常规 3 2" xfId="136"/>
    <cellStyle name="强调文字颜色 1 2" xfId="137"/>
    <cellStyle name="强调文字颜色 1 3" xfId="138"/>
    <cellStyle name="强调文字颜色 1 4" xfId="139"/>
    <cellStyle name="强调文字颜色 1 5" xfId="140"/>
    <cellStyle name="强调文字颜色 2 2" xfId="141"/>
    <cellStyle name="强调文字颜色 2 3" xfId="142"/>
    <cellStyle name="强调文字颜色 2 4" xfId="143"/>
    <cellStyle name="强调文字颜色 2 5" xfId="144"/>
    <cellStyle name="强调文字颜色 3 2" xfId="145"/>
    <cellStyle name="强调文字颜色 3 3" xfId="146"/>
    <cellStyle name="强调文字颜色 3 4" xfId="147"/>
    <cellStyle name="强调文字颜色 3 5" xfId="148"/>
    <cellStyle name="强调文字颜色 4 2" xfId="149"/>
    <cellStyle name="强调文字颜色 4 3" xfId="150"/>
    <cellStyle name="强调文字颜色 4 4" xfId="151"/>
    <cellStyle name="强调文字颜色 4 5" xfId="152"/>
    <cellStyle name="强调文字颜色 5 2" xfId="153"/>
    <cellStyle name="强调文字颜色 5 3" xfId="154"/>
    <cellStyle name="强调文字颜色 5 4" xfId="155"/>
    <cellStyle name="强调文字颜色 5 5" xfId="156"/>
    <cellStyle name="强调文字颜色 6 2" xfId="157"/>
    <cellStyle name="强调文字颜色 6 3" xfId="158"/>
    <cellStyle name="强调文字颜色 6 4" xfId="159"/>
    <cellStyle name="强调文字颜色 6 5" xfId="160"/>
    <cellStyle name="标题 1 2" xfId="161"/>
    <cellStyle name="标题 1 3" xfId="162"/>
    <cellStyle name="标题 1 4" xfId="163"/>
    <cellStyle name="标题 1 5" xfId="164"/>
    <cellStyle name="标题 2 2" xfId="165"/>
    <cellStyle name="标题 2 3" xfId="166"/>
    <cellStyle name="标题 2 4" xfId="167"/>
    <cellStyle name="标题 2 5" xfId="168"/>
    <cellStyle name="标题 3 2" xfId="169"/>
    <cellStyle name="标题 3 3" xfId="170"/>
    <cellStyle name="标题 3 4" xfId="171"/>
    <cellStyle name="标题 3 5" xfId="172"/>
    <cellStyle name="标题 4 2" xfId="173"/>
    <cellStyle name="标题 4 3" xfId="174"/>
    <cellStyle name="标题 4 4" xfId="175"/>
    <cellStyle name="标题 4 5" xfId="176"/>
    <cellStyle name="标题 5" xfId="177"/>
    <cellStyle name="标题 6" xfId="178"/>
    <cellStyle name="标题 7" xfId="179"/>
    <cellStyle name="标题 8" xfId="180"/>
    <cellStyle name="检查单元格 2" xfId="181"/>
    <cellStyle name="检查单元格 3" xfId="182"/>
    <cellStyle name="检查单元格 4" xfId="183"/>
    <cellStyle name="检查单元格 5" xfId="184"/>
    <cellStyle name="汇总 2" xfId="185"/>
    <cellStyle name="汇总 3" xfId="186"/>
    <cellStyle name="汇总 4" xfId="187"/>
    <cellStyle name="汇总 5" xfId="188"/>
    <cellStyle name="注释 2" xfId="189"/>
    <cellStyle name="解释性文本 2" xfId="190"/>
    <cellStyle name="解释性文本 3" xfId="191"/>
    <cellStyle name="解释性文本 4" xfId="192"/>
    <cellStyle name="解释性文本 5" xfId="193"/>
    <cellStyle name="警告文本 2" xfId="194"/>
    <cellStyle name="警告文本 3" xfId="195"/>
    <cellStyle name="警告文本 4" xfId="196"/>
    <cellStyle name="警告文本 5" xfId="197"/>
    <cellStyle name="计算 2" xfId="198"/>
    <cellStyle name="计算 3" xfId="199"/>
    <cellStyle name="计算 4" xfId="200"/>
    <cellStyle name="计算 5" xfId="201"/>
    <cellStyle name="输入 2" xfId="202"/>
    <cellStyle name="输入 3" xfId="203"/>
    <cellStyle name="输入 4" xfId="204"/>
    <cellStyle name="输入 5" xfId="205"/>
    <cellStyle name="输出 2" xfId="206"/>
    <cellStyle name="输出 3" xfId="207"/>
    <cellStyle name="输出 4" xfId="208"/>
    <cellStyle name="输出 5" xfId="209"/>
    <cellStyle name="适中 2" xfId="210"/>
    <cellStyle name="适中 3" xfId="211"/>
    <cellStyle name="适中 4" xfId="212"/>
    <cellStyle name="适中 5" xfId="213"/>
    <cellStyle name="链接单元格 2" xfId="214"/>
    <cellStyle name="链接单元格 3" xfId="215"/>
    <cellStyle name="链接单元格 4" xfId="216"/>
    <cellStyle name="链接单元格 5" xfId="217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271877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1907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tabSelected="1" workbookViewId="0">
      <selection activeCell="G9" sqref="G9:G10"/>
    </sheetView>
  </sheetViews>
  <sheetFormatPr defaultColWidth="9" defaultRowHeight="14.25"/>
  <cols>
    <col min="1" max="1" width="18.2654867256637" style="2" customWidth="1"/>
    <col min="2" max="2" width="10.7345132743363" style="2" customWidth="1"/>
    <col min="3" max="3" width="8.39823008849558" style="2" customWidth="1"/>
    <col min="4" max="4" width="6.86725663716814" style="2" customWidth="1"/>
    <col min="5" max="6" width="12.7345132743363" style="2" customWidth="1"/>
    <col min="7" max="7" width="12.7345132743363" style="3" customWidth="1"/>
    <col min="8" max="8" width="12.7345132743363" style="2" customWidth="1"/>
    <col min="9" max="9" width="7.26548672566372" style="2" customWidth="1"/>
    <col min="10" max="10" width="7.39823008849558" style="2" customWidth="1"/>
    <col min="11" max="11" width="7.73451327433628" style="2" customWidth="1"/>
    <col min="12" max="12" width="5.86725663716814" style="2" customWidth="1"/>
    <col min="13" max="13" width="6.53097345132743" style="2" customWidth="1"/>
    <col min="14" max="14" width="6.39823008849558" style="2" customWidth="1"/>
    <col min="15" max="15" width="6.26548672566372" style="2" customWidth="1"/>
    <col min="16" max="16" width="7.53097345132743" style="2" customWidth="1"/>
    <col min="17" max="17" width="7" style="2" hidden="1" customWidth="1"/>
    <col min="18" max="18" width="10.7345132743363" style="2" customWidth="1"/>
    <col min="19" max="16384" width="9" style="2"/>
  </cols>
  <sheetData>
    <row r="1" s="1" customFormat="1" ht="20.25" customHeight="1" spans="1:16">
      <c r="A1" s="4"/>
      <c r="B1" s="4"/>
      <c r="C1" s="4"/>
      <c r="D1" s="5" t="s">
        <v>0</v>
      </c>
      <c r="E1" s="5"/>
      <c r="F1" s="5"/>
      <c r="G1" s="5"/>
      <c r="H1" s="5"/>
      <c r="I1" s="5"/>
      <c r="J1" s="5"/>
      <c r="K1" s="5"/>
      <c r="L1" s="5"/>
      <c r="M1" s="52" t="s">
        <v>1</v>
      </c>
      <c r="N1" s="52"/>
      <c r="O1" s="52" t="s">
        <v>2</v>
      </c>
      <c r="P1" s="52"/>
    </row>
    <row r="2" s="1" customFormat="1" ht="20.25" customHeight="1" spans="1:16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3" t="s">
        <v>3</v>
      </c>
      <c r="N2" s="53"/>
      <c r="O2" s="53" t="s">
        <v>4</v>
      </c>
      <c r="P2" s="53"/>
    </row>
    <row r="3" s="1" customFormat="1" ht="20.25" customHeight="1" spans="1:16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3" t="s">
        <v>5</v>
      </c>
      <c r="N3" s="53"/>
      <c r="O3" s="83" t="s">
        <v>6</v>
      </c>
      <c r="P3" s="54"/>
    </row>
    <row r="4" ht="15.75" spans="1:17">
      <c r="A4" s="6" t="s">
        <v>7</v>
      </c>
      <c r="B4" s="6"/>
      <c r="C4" s="7" t="s">
        <v>8</v>
      </c>
      <c r="D4" s="7"/>
      <c r="E4" s="8" t="s">
        <v>9</v>
      </c>
      <c r="F4" s="9">
        <v>20132547</v>
      </c>
      <c r="G4" s="10"/>
      <c r="H4" s="11" t="s">
        <v>10</v>
      </c>
      <c r="I4" s="55" t="s">
        <v>11</v>
      </c>
      <c r="J4" s="56"/>
      <c r="K4" s="57" t="s">
        <v>12</v>
      </c>
      <c r="L4" s="57"/>
      <c r="M4" s="58" t="s">
        <v>13</v>
      </c>
      <c r="N4" s="59"/>
      <c r="O4" s="59"/>
      <c r="P4" s="60"/>
      <c r="Q4" s="15"/>
    </row>
    <row r="5" ht="15.75" spans="1:17">
      <c r="A5" s="6" t="s">
        <v>14</v>
      </c>
      <c r="B5" s="6"/>
      <c r="C5" s="7"/>
      <c r="D5" s="7"/>
      <c r="E5" s="12" t="s">
        <v>15</v>
      </c>
      <c r="F5" s="13"/>
      <c r="G5" s="14"/>
      <c r="H5" s="15" t="s">
        <v>16</v>
      </c>
      <c r="I5" s="61"/>
      <c r="J5" s="62"/>
      <c r="K5" s="63" t="s">
        <v>17</v>
      </c>
      <c r="L5" s="63"/>
      <c r="M5" s="64"/>
      <c r="N5" s="65"/>
      <c r="O5" s="65"/>
      <c r="P5" s="66"/>
      <c r="Q5" s="15"/>
    </row>
    <row r="6" ht="25.5" customHeight="1" spans="1:17">
      <c r="A6" s="16" t="s">
        <v>18</v>
      </c>
      <c r="B6" s="17" t="s">
        <v>19</v>
      </c>
      <c r="C6" s="18" t="s">
        <v>20</v>
      </c>
      <c r="D6" s="17" t="s">
        <v>21</v>
      </c>
      <c r="E6" s="19" t="s">
        <v>22</v>
      </c>
      <c r="F6" s="19" t="s">
        <v>23</v>
      </c>
      <c r="G6" s="20" t="s">
        <v>24</v>
      </c>
      <c r="H6" s="17" t="s">
        <v>25</v>
      </c>
      <c r="I6" s="17" t="s">
        <v>26</v>
      </c>
      <c r="J6" s="17" t="s">
        <v>27</v>
      </c>
      <c r="K6" s="17" t="s">
        <v>28</v>
      </c>
      <c r="L6" s="17" t="s">
        <v>29</v>
      </c>
      <c r="M6" s="17" t="s">
        <v>30</v>
      </c>
      <c r="N6" s="17" t="s">
        <v>31</v>
      </c>
      <c r="O6" s="17" t="s">
        <v>32</v>
      </c>
      <c r="P6" s="17" t="s">
        <v>33</v>
      </c>
      <c r="Q6" s="77"/>
    </row>
    <row r="7" customHeight="1" spans="1:17">
      <c r="A7" s="16" t="s">
        <v>34</v>
      </c>
      <c r="B7" s="17"/>
      <c r="C7" s="17" t="s">
        <v>35</v>
      </c>
      <c r="D7" s="17"/>
      <c r="E7" s="21"/>
      <c r="F7" s="21"/>
      <c r="G7" s="22"/>
      <c r="H7" s="17"/>
      <c r="I7" s="17"/>
      <c r="J7" s="17"/>
      <c r="K7" s="17"/>
      <c r="L7" s="17"/>
      <c r="M7" s="17"/>
      <c r="N7" s="17"/>
      <c r="O7" s="17"/>
      <c r="P7" s="17"/>
      <c r="Q7" s="77"/>
    </row>
    <row r="8" spans="1:17">
      <c r="A8" s="16"/>
      <c r="B8" s="17"/>
      <c r="C8" s="17"/>
      <c r="D8" s="17"/>
      <c r="E8" s="23"/>
      <c r="F8" s="23"/>
      <c r="G8" s="24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ht="15.75" customHeight="1" spans="1:17">
      <c r="A9" s="25" t="s">
        <v>36</v>
      </c>
      <c r="B9" s="26" t="s">
        <v>37</v>
      </c>
      <c r="C9" s="26" t="s">
        <v>37</v>
      </c>
      <c r="D9" s="27" t="s">
        <v>38</v>
      </c>
      <c r="E9" s="26" t="s">
        <v>39</v>
      </c>
      <c r="F9" s="26" t="s">
        <v>40</v>
      </c>
      <c r="G9" s="26" t="s">
        <v>39</v>
      </c>
      <c r="H9" s="26" t="s">
        <v>37</v>
      </c>
      <c r="I9" s="26" t="s">
        <v>41</v>
      </c>
      <c r="J9" s="26" t="s">
        <v>42</v>
      </c>
      <c r="K9" s="26" t="s">
        <v>43</v>
      </c>
      <c r="L9" s="26">
        <v>97</v>
      </c>
      <c r="M9" s="67" t="s">
        <v>44</v>
      </c>
      <c r="N9" s="68" t="s">
        <v>45</v>
      </c>
      <c r="O9" s="69" t="s">
        <v>46</v>
      </c>
      <c r="P9" s="70" t="s">
        <v>47</v>
      </c>
      <c r="Q9" s="78" t="s">
        <v>48</v>
      </c>
    </row>
    <row r="10" ht="15.75" customHeight="1" spans="1:17">
      <c r="A10" s="28"/>
      <c r="B10" s="26"/>
      <c r="C10" s="26"/>
      <c r="D10" s="27"/>
      <c r="E10" s="26"/>
      <c r="F10" s="26"/>
      <c r="G10" s="26"/>
      <c r="H10" s="26"/>
      <c r="I10" s="26"/>
      <c r="J10" s="26"/>
      <c r="K10" s="26"/>
      <c r="L10" s="26"/>
      <c r="M10" s="67"/>
      <c r="N10" s="71"/>
      <c r="O10" s="70"/>
      <c r="P10" s="70"/>
      <c r="Q10" s="78"/>
    </row>
    <row r="11" ht="15.75" spans="1:18">
      <c r="A11" s="29" t="s">
        <v>49</v>
      </c>
      <c r="B11" s="30" t="s">
        <v>50</v>
      </c>
      <c r="C11" s="30" t="s">
        <v>50</v>
      </c>
      <c r="D11" s="31" t="s">
        <v>51</v>
      </c>
      <c r="E11" s="32">
        <v>81.64</v>
      </c>
      <c r="F11" s="32">
        <v>144.58</v>
      </c>
      <c r="G11" s="32">
        <v>43.67</v>
      </c>
      <c r="H11" s="30" t="s">
        <v>50</v>
      </c>
      <c r="I11" s="30" t="s">
        <v>50</v>
      </c>
      <c r="J11" s="30" t="s">
        <v>50</v>
      </c>
      <c r="K11" s="30" t="s">
        <v>50</v>
      </c>
      <c r="L11" s="30" t="s">
        <v>50</v>
      </c>
      <c r="M11" s="30" t="s">
        <v>50</v>
      </c>
      <c r="N11" s="30" t="s">
        <v>50</v>
      </c>
      <c r="O11" s="30" t="s">
        <v>50</v>
      </c>
      <c r="P11" s="30" t="s">
        <v>50</v>
      </c>
      <c r="Q11" s="79"/>
      <c r="R11" s="80"/>
    </row>
    <row r="12" ht="15.75" spans="1:17">
      <c r="A12" s="29" t="s">
        <v>52</v>
      </c>
      <c r="B12" s="30" t="s">
        <v>50</v>
      </c>
      <c r="C12" s="30" t="s">
        <v>50</v>
      </c>
      <c r="D12" s="31" t="s">
        <v>51</v>
      </c>
      <c r="E12" s="32">
        <v>83.07</v>
      </c>
      <c r="F12" s="32">
        <v>149.52</v>
      </c>
      <c r="G12" s="32">
        <v>44.56</v>
      </c>
      <c r="H12" s="30" t="s">
        <v>50</v>
      </c>
      <c r="I12" s="30" t="s">
        <v>50</v>
      </c>
      <c r="J12" s="30" t="s">
        <v>50</v>
      </c>
      <c r="K12" s="30" t="s">
        <v>50</v>
      </c>
      <c r="L12" s="30" t="s">
        <v>50</v>
      </c>
      <c r="M12" s="30" t="s">
        <v>50</v>
      </c>
      <c r="N12" s="30" t="s">
        <v>50</v>
      </c>
      <c r="O12" s="30" t="s">
        <v>50</v>
      </c>
      <c r="P12" s="30" t="s">
        <v>50</v>
      </c>
      <c r="Q12" s="79"/>
    </row>
    <row r="13" ht="15.75" spans="1:17">
      <c r="A13" s="29" t="s">
        <v>53</v>
      </c>
      <c r="B13" s="30" t="s">
        <v>50</v>
      </c>
      <c r="C13" s="30" t="s">
        <v>50</v>
      </c>
      <c r="D13" s="31" t="s">
        <v>51</v>
      </c>
      <c r="E13" s="32">
        <v>80.58</v>
      </c>
      <c r="F13" s="32">
        <v>152.49</v>
      </c>
      <c r="G13" s="32">
        <v>43.51</v>
      </c>
      <c r="H13" s="30" t="s">
        <v>50</v>
      </c>
      <c r="I13" s="30" t="s">
        <v>50</v>
      </c>
      <c r="J13" s="30" t="s">
        <v>50</v>
      </c>
      <c r="K13" s="30" t="s">
        <v>50</v>
      </c>
      <c r="L13" s="30" t="s">
        <v>50</v>
      </c>
      <c r="M13" s="30" t="s">
        <v>50</v>
      </c>
      <c r="N13" s="30" t="s">
        <v>50</v>
      </c>
      <c r="O13" s="30" t="s">
        <v>50</v>
      </c>
      <c r="P13" s="30" t="s">
        <v>50</v>
      </c>
      <c r="Q13" s="79"/>
    </row>
    <row r="14" ht="15.75" spans="1:17">
      <c r="A14" s="29" t="s">
        <v>54</v>
      </c>
      <c r="B14" s="30" t="s">
        <v>50</v>
      </c>
      <c r="C14" s="30" t="s">
        <v>50</v>
      </c>
      <c r="D14" s="31" t="s">
        <v>51</v>
      </c>
      <c r="E14" s="32">
        <v>81.25</v>
      </c>
      <c r="F14" s="32">
        <v>148.57</v>
      </c>
      <c r="G14" s="32">
        <v>42.18</v>
      </c>
      <c r="H14" s="30" t="s">
        <v>50</v>
      </c>
      <c r="I14" s="30" t="s">
        <v>50</v>
      </c>
      <c r="J14" s="30" t="s">
        <v>50</v>
      </c>
      <c r="K14" s="30" t="s">
        <v>50</v>
      </c>
      <c r="L14" s="30" t="s">
        <v>50</v>
      </c>
      <c r="M14" s="30" t="s">
        <v>50</v>
      </c>
      <c r="N14" s="30" t="s">
        <v>50</v>
      </c>
      <c r="O14" s="30" t="s">
        <v>50</v>
      </c>
      <c r="P14" s="30" t="s">
        <v>50</v>
      </c>
      <c r="Q14" s="79"/>
    </row>
    <row r="15" ht="15.75" spans="1:17">
      <c r="A15" s="29" t="s">
        <v>55</v>
      </c>
      <c r="B15" s="30" t="s">
        <v>50</v>
      </c>
      <c r="C15" s="30" t="s">
        <v>50</v>
      </c>
      <c r="D15" s="31" t="s">
        <v>51</v>
      </c>
      <c r="E15" s="32">
        <v>84.07</v>
      </c>
      <c r="F15" s="32">
        <v>144.56</v>
      </c>
      <c r="G15" s="32">
        <v>45.78</v>
      </c>
      <c r="H15" s="30" t="s">
        <v>50</v>
      </c>
      <c r="I15" s="30" t="s">
        <v>50</v>
      </c>
      <c r="J15" s="30" t="s">
        <v>50</v>
      </c>
      <c r="K15" s="30" t="s">
        <v>50</v>
      </c>
      <c r="L15" s="30" t="s">
        <v>50</v>
      </c>
      <c r="M15" s="30" t="s">
        <v>50</v>
      </c>
      <c r="N15" s="30" t="s">
        <v>50</v>
      </c>
      <c r="O15" s="30" t="s">
        <v>50</v>
      </c>
      <c r="P15" s="30" t="s">
        <v>50</v>
      </c>
      <c r="Q15" s="79"/>
    </row>
    <row r="16" ht="15.75" spans="1:17">
      <c r="A16" s="29">
        <v>6</v>
      </c>
      <c r="B16" s="33"/>
      <c r="C16" s="33"/>
      <c r="D16" s="34"/>
      <c r="E16" s="35"/>
      <c r="F16" s="35"/>
      <c r="G16" s="36"/>
      <c r="H16" s="37"/>
      <c r="I16" s="34"/>
      <c r="J16" s="34"/>
      <c r="K16" s="72"/>
      <c r="L16" s="72"/>
      <c r="M16" s="34"/>
      <c r="N16" s="73"/>
      <c r="O16" s="73"/>
      <c r="P16" s="73"/>
      <c r="Q16" s="79"/>
    </row>
    <row r="17" ht="15.75" spans="1:17">
      <c r="A17" s="29">
        <v>7</v>
      </c>
      <c r="B17" s="38"/>
      <c r="C17" s="39"/>
      <c r="D17" s="34"/>
      <c r="E17" s="35"/>
      <c r="F17" s="35"/>
      <c r="G17" s="40"/>
      <c r="H17" s="41"/>
      <c r="I17" s="34"/>
      <c r="J17" s="34"/>
      <c r="K17" s="72"/>
      <c r="L17" s="72"/>
      <c r="M17" s="34"/>
      <c r="N17" s="73"/>
      <c r="O17" s="73"/>
      <c r="P17" s="73"/>
      <c r="Q17" s="79"/>
    </row>
    <row r="18" ht="15.75" spans="1:17">
      <c r="A18" s="42">
        <v>8</v>
      </c>
      <c r="B18" s="38"/>
      <c r="C18" s="39"/>
      <c r="D18" s="34"/>
      <c r="E18" s="41"/>
      <c r="F18" s="41"/>
      <c r="G18" s="43"/>
      <c r="H18" s="41"/>
      <c r="I18" s="34"/>
      <c r="J18" s="34"/>
      <c r="K18" s="72"/>
      <c r="L18" s="72"/>
      <c r="M18" s="34"/>
      <c r="N18" s="73"/>
      <c r="O18" s="73"/>
      <c r="P18" s="73"/>
      <c r="Q18" s="79"/>
    </row>
    <row r="19" ht="15.75" spans="1:17">
      <c r="A19" s="42">
        <v>9</v>
      </c>
      <c r="B19" s="38"/>
      <c r="C19" s="39"/>
      <c r="D19" s="34"/>
      <c r="E19" s="41"/>
      <c r="F19" s="41"/>
      <c r="G19" s="43"/>
      <c r="H19" s="41"/>
      <c r="I19" s="74"/>
      <c r="J19" s="34"/>
      <c r="K19" s="72"/>
      <c r="L19" s="72"/>
      <c r="M19" s="34"/>
      <c r="N19" s="73"/>
      <c r="O19" s="73"/>
      <c r="P19" s="73"/>
      <c r="Q19" s="79"/>
    </row>
    <row r="20" ht="15.75" spans="1:17">
      <c r="A20" s="42">
        <v>10</v>
      </c>
      <c r="B20" s="38"/>
      <c r="C20" s="39"/>
      <c r="D20" s="34"/>
      <c r="E20" s="41"/>
      <c r="F20" s="41"/>
      <c r="G20" s="43"/>
      <c r="H20" s="41"/>
      <c r="I20" s="74"/>
      <c r="J20" s="34"/>
      <c r="K20" s="72"/>
      <c r="L20" s="72"/>
      <c r="M20" s="34"/>
      <c r="N20" s="73"/>
      <c r="O20" s="73"/>
      <c r="P20" s="73"/>
      <c r="Q20" s="79"/>
    </row>
    <row r="21" ht="15.75" spans="1:17">
      <c r="A21" s="42">
        <v>11</v>
      </c>
      <c r="B21" s="38"/>
      <c r="C21" s="39"/>
      <c r="D21" s="34"/>
      <c r="E21" s="41"/>
      <c r="F21" s="41"/>
      <c r="G21" s="43"/>
      <c r="H21" s="41"/>
      <c r="I21" s="74"/>
      <c r="J21" s="34"/>
      <c r="K21" s="72"/>
      <c r="L21" s="72"/>
      <c r="M21" s="34"/>
      <c r="N21" s="73"/>
      <c r="O21" s="73"/>
      <c r="P21" s="73"/>
      <c r="Q21" s="79"/>
    </row>
    <row r="22" ht="15.75" spans="1:17">
      <c r="A22" s="42">
        <v>12</v>
      </c>
      <c r="B22" s="38"/>
      <c r="C22" s="39"/>
      <c r="D22" s="34"/>
      <c r="E22" s="41"/>
      <c r="F22" s="41"/>
      <c r="G22" s="43"/>
      <c r="H22" s="41"/>
      <c r="I22" s="74"/>
      <c r="J22" s="34"/>
      <c r="K22" s="72"/>
      <c r="L22" s="72"/>
      <c r="M22" s="34"/>
      <c r="N22" s="73"/>
      <c r="O22" s="73"/>
      <c r="P22" s="73"/>
      <c r="Q22" s="79"/>
    </row>
    <row r="23" ht="15.75" spans="1:17">
      <c r="A23" s="42">
        <v>13</v>
      </c>
      <c r="B23" s="38"/>
      <c r="C23" s="39"/>
      <c r="D23" s="34"/>
      <c r="E23" s="41"/>
      <c r="F23" s="44"/>
      <c r="G23" s="41"/>
      <c r="H23" s="41"/>
      <c r="I23" s="74"/>
      <c r="J23" s="34"/>
      <c r="K23" s="72"/>
      <c r="L23" s="72"/>
      <c r="M23" s="34"/>
      <c r="N23" s="73"/>
      <c r="O23" s="73"/>
      <c r="P23" s="73"/>
      <c r="Q23" s="79"/>
    </row>
    <row r="24" ht="15.75" spans="1:17">
      <c r="A24" s="42">
        <v>14</v>
      </c>
      <c r="B24" s="38"/>
      <c r="C24" s="39"/>
      <c r="D24" s="34"/>
      <c r="E24" s="38"/>
      <c r="F24" s="38"/>
      <c r="G24" s="44"/>
      <c r="H24" s="38"/>
      <c r="I24" s="38"/>
      <c r="J24" s="38"/>
      <c r="K24" s="38"/>
      <c r="L24" s="38"/>
      <c r="M24" s="34"/>
      <c r="N24" s="38"/>
      <c r="O24" s="38"/>
      <c r="P24" s="73"/>
      <c r="Q24" s="79"/>
    </row>
    <row r="25" ht="15.75" spans="1:17">
      <c r="A25" s="42">
        <v>15</v>
      </c>
      <c r="B25" s="38"/>
      <c r="C25" s="39"/>
      <c r="D25" s="34"/>
      <c r="E25" s="38"/>
      <c r="F25" s="38"/>
      <c r="G25" s="44"/>
      <c r="H25" s="38"/>
      <c r="I25" s="38"/>
      <c r="J25" s="38"/>
      <c r="K25" s="38"/>
      <c r="L25" s="38"/>
      <c r="M25" s="34"/>
      <c r="N25" s="38"/>
      <c r="O25" s="38"/>
      <c r="P25" s="73"/>
      <c r="Q25" s="79"/>
    </row>
    <row r="26" ht="15.75" spans="1:17">
      <c r="A26" s="42">
        <v>16</v>
      </c>
      <c r="B26" s="38"/>
      <c r="C26" s="39"/>
      <c r="D26" s="34"/>
      <c r="E26" s="38"/>
      <c r="F26" s="38"/>
      <c r="G26" s="44"/>
      <c r="H26" s="38"/>
      <c r="I26" s="38"/>
      <c r="J26" s="38"/>
      <c r="K26" s="38"/>
      <c r="L26" s="38"/>
      <c r="M26" s="34"/>
      <c r="N26" s="38"/>
      <c r="O26" s="38"/>
      <c r="P26" s="73"/>
      <c r="Q26" s="79"/>
    </row>
    <row r="27" ht="15.75" spans="1:17">
      <c r="A27" s="42">
        <v>17</v>
      </c>
      <c r="B27" s="38"/>
      <c r="C27" s="39"/>
      <c r="D27" s="34"/>
      <c r="E27" s="38"/>
      <c r="F27" s="38"/>
      <c r="G27" s="44"/>
      <c r="H27" s="38"/>
      <c r="I27" s="38"/>
      <c r="J27" s="38"/>
      <c r="K27" s="38"/>
      <c r="L27" s="38"/>
      <c r="M27" s="34"/>
      <c r="N27" s="38"/>
      <c r="O27" s="38"/>
      <c r="P27" s="73"/>
      <c r="Q27" s="79"/>
    </row>
    <row r="28" ht="15.75" spans="1:17">
      <c r="A28" s="42">
        <v>18</v>
      </c>
      <c r="B28" s="38"/>
      <c r="C28" s="39"/>
      <c r="D28" s="34"/>
      <c r="E28" s="38"/>
      <c r="F28" s="38"/>
      <c r="G28" s="44"/>
      <c r="H28" s="38"/>
      <c r="I28" s="38"/>
      <c r="J28" s="38"/>
      <c r="K28" s="38"/>
      <c r="L28" s="38"/>
      <c r="M28" s="34"/>
      <c r="N28" s="38"/>
      <c r="O28" s="38"/>
      <c r="P28" s="73"/>
      <c r="Q28" s="79"/>
    </row>
    <row r="29" ht="15.75" spans="1:17">
      <c r="A29" s="42">
        <v>19</v>
      </c>
      <c r="B29" s="38"/>
      <c r="C29" s="39"/>
      <c r="D29" s="34"/>
      <c r="E29" s="38"/>
      <c r="F29" s="38"/>
      <c r="G29" s="44"/>
      <c r="H29" s="38"/>
      <c r="I29" s="38"/>
      <c r="J29" s="38"/>
      <c r="K29" s="38"/>
      <c r="L29" s="38"/>
      <c r="M29" s="34"/>
      <c r="N29" s="38"/>
      <c r="O29" s="38"/>
      <c r="P29" s="73"/>
      <c r="Q29" s="79"/>
    </row>
    <row r="30" ht="15.75" spans="1:17">
      <c r="A30" s="42">
        <v>20</v>
      </c>
      <c r="B30" s="38"/>
      <c r="C30" s="39"/>
      <c r="D30" s="34"/>
      <c r="E30" s="38"/>
      <c r="F30" s="38"/>
      <c r="G30" s="44"/>
      <c r="H30" s="38"/>
      <c r="I30" s="38"/>
      <c r="J30" s="38"/>
      <c r="K30" s="38"/>
      <c r="L30" s="38"/>
      <c r="M30" s="34"/>
      <c r="N30" s="38"/>
      <c r="O30" s="38"/>
      <c r="P30" s="73"/>
      <c r="Q30" s="79"/>
    </row>
    <row r="31" spans="1:17">
      <c r="A31" s="45" t="s">
        <v>56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 t="str">
        <f t="shared" ref="N31:Q31" si="0">IF(N11=" "," ",IF(MIN(N11:N30)=0," ",MIN(N11:N30)))</f>
        <v/>
      </c>
      <c r="O31" s="46" t="str">
        <f t="shared" si="0"/>
        <v/>
      </c>
      <c r="P31" s="46" t="str">
        <f t="shared" si="0"/>
        <v/>
      </c>
      <c r="Q31" s="81" t="str">
        <f t="shared" si="0"/>
        <v/>
      </c>
    </row>
    <row r="32" spans="1:17">
      <c r="A32" s="45" t="s">
        <v>57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 t="str">
        <f t="shared" ref="N32:Q32" si="1">IF(N11=" "," ",IF(N31=" "," ",AVERAGE(N11:N30)))</f>
        <v/>
      </c>
      <c r="O32" s="46" t="str">
        <f t="shared" si="1"/>
        <v/>
      </c>
      <c r="P32" s="46" t="str">
        <f t="shared" si="1"/>
        <v/>
      </c>
      <c r="Q32" s="81" t="str">
        <f t="shared" si="1"/>
        <v/>
      </c>
    </row>
    <row r="33" spans="1:17">
      <c r="A33" s="45" t="s">
        <v>58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 t="str">
        <f t="shared" ref="N33:Q33" si="2">IF(N11=" "," ",IF(N31=" "," ",MAX(N11:N30)))</f>
        <v/>
      </c>
      <c r="O33" s="46" t="str">
        <f t="shared" si="2"/>
        <v/>
      </c>
      <c r="P33" s="46" t="str">
        <f t="shared" si="2"/>
        <v/>
      </c>
      <c r="Q33" s="81" t="str">
        <f t="shared" si="2"/>
        <v/>
      </c>
    </row>
    <row r="34" spans="1:17">
      <c r="A34" s="45" t="s">
        <v>59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 t="str">
        <f t="shared" ref="N34:Q34" si="3">IF(N11=" "," ",IF(N31=" "," ",STDEV(N11:N30)))</f>
        <v/>
      </c>
      <c r="O34" s="46" t="str">
        <f t="shared" si="3"/>
        <v/>
      </c>
      <c r="P34" s="46" t="str">
        <f t="shared" si="3"/>
        <v/>
      </c>
      <c r="Q34" s="81" t="str">
        <f t="shared" si="3"/>
        <v/>
      </c>
    </row>
    <row r="35" ht="15.75" spans="1:17">
      <c r="A35" s="47" t="s">
        <v>34</v>
      </c>
      <c r="B35" s="48"/>
      <c r="C35" s="48"/>
      <c r="D35" s="48"/>
      <c r="E35" s="48"/>
      <c r="F35" s="48"/>
      <c r="G35" s="49"/>
      <c r="H35" s="48"/>
      <c r="I35" s="48"/>
      <c r="J35" s="48"/>
      <c r="K35" s="48"/>
      <c r="L35" s="48"/>
      <c r="M35" s="48"/>
      <c r="N35" s="75"/>
      <c r="O35" s="75"/>
      <c r="P35" s="75"/>
      <c r="Q35" s="82"/>
    </row>
    <row r="36" ht="15.75" spans="1:16">
      <c r="A36" s="50" t="s">
        <v>60</v>
      </c>
      <c r="B36" s="50"/>
      <c r="C36" s="50"/>
      <c r="D36" s="50"/>
      <c r="E36" s="50"/>
      <c r="F36" s="50"/>
      <c r="G36" s="51"/>
      <c r="H36" s="50"/>
      <c r="I36" s="50"/>
      <c r="J36" s="50"/>
      <c r="K36" s="50"/>
      <c r="L36" s="50"/>
      <c r="M36" s="50"/>
      <c r="N36" s="76"/>
      <c r="O36" s="76"/>
      <c r="P36"/>
    </row>
  </sheetData>
  <mergeCells count="50">
    <mergeCell ref="M1:N1"/>
    <mergeCell ref="O1:P1"/>
    <mergeCell ref="M2:N2"/>
    <mergeCell ref="O2:P2"/>
    <mergeCell ref="M3:N3"/>
    <mergeCell ref="O3:P3"/>
    <mergeCell ref="A4:B4"/>
    <mergeCell ref="K4:L4"/>
    <mergeCell ref="A5:B5"/>
    <mergeCell ref="K5:L5"/>
    <mergeCell ref="A7:A8"/>
    <mergeCell ref="A9:A10"/>
    <mergeCell ref="B6:B8"/>
    <mergeCell ref="B9:B10"/>
    <mergeCell ref="C7:C8"/>
    <mergeCell ref="C9:C10"/>
    <mergeCell ref="D6:D8"/>
    <mergeCell ref="D9:D10"/>
    <mergeCell ref="E6:E8"/>
    <mergeCell ref="E9:E10"/>
    <mergeCell ref="F6:F8"/>
    <mergeCell ref="F9:F10"/>
    <mergeCell ref="G6:G8"/>
    <mergeCell ref="G9:G10"/>
    <mergeCell ref="H6:H8"/>
    <mergeCell ref="H9:H10"/>
    <mergeCell ref="I6:I8"/>
    <mergeCell ref="I9:I10"/>
    <mergeCell ref="J6:J8"/>
    <mergeCell ref="J9:J10"/>
    <mergeCell ref="K6:K8"/>
    <mergeCell ref="K9:K10"/>
    <mergeCell ref="L6:L8"/>
    <mergeCell ref="L9:L10"/>
    <mergeCell ref="M6:M8"/>
    <mergeCell ref="M9:M10"/>
    <mergeCell ref="N6:N8"/>
    <mergeCell ref="N9:N10"/>
    <mergeCell ref="O6:O8"/>
    <mergeCell ref="O9:O10"/>
    <mergeCell ref="P6:P8"/>
    <mergeCell ref="P9:P10"/>
    <mergeCell ref="Q6:Q8"/>
    <mergeCell ref="Q9:Q10"/>
    <mergeCell ref="A1:C3"/>
    <mergeCell ref="C4:D5"/>
    <mergeCell ref="I4:J5"/>
    <mergeCell ref="M4:P5"/>
    <mergeCell ref="D1:L3"/>
    <mergeCell ref="F4:G5"/>
  </mergeCells>
  <conditionalFormatting sqref="E19">
    <cfRule type="cellIs" dxfId="0" priority="35" stopIfTrue="1" operator="lessThan">
      <formula>18.5</formula>
    </cfRule>
  </conditionalFormatting>
  <conditionalFormatting sqref="F16:F17">
    <cfRule type="cellIs" dxfId="0" priority="38" stopIfTrue="1" operator="lessThan">
      <formula>160</formula>
    </cfRule>
    <cfRule type="cellIs" dxfId="0" priority="119" stopIfTrue="1" operator="lessThan">
      <formula>160</formula>
    </cfRule>
  </conditionalFormatting>
  <conditionalFormatting sqref="F16:F18">
    <cfRule type="cellIs" dxfId="0" priority="39" stopIfTrue="1" operator="lessThan">
      <formula>154</formula>
    </cfRule>
    <cfRule type="cellIs" dxfId="0" priority="230" stopIfTrue="1" operator="lessThan">
      <formula>154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Sh1n</cp:lastModifiedBy>
  <dcterms:created xsi:type="dcterms:W3CDTF">2006-09-16T00:00:00Z</dcterms:created>
  <cp:lastPrinted>2022-12-21T08:15:00Z</cp:lastPrinted>
  <dcterms:modified xsi:type="dcterms:W3CDTF">2025-09-10T01:32:49Z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F3A32FB8D91B47DE98D0526931D22D3E_13</vt:lpwstr>
  </property>
</Properties>
</file>